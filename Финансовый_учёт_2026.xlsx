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/>
  <workbookPr date1904="0"/>
  <bookViews>
    <workbookView xWindow="0" yWindow="0" windowWidth="28800" windowHeight="16000"/>
  </bookViews>
  <sheets>
    <sheet name="Склад" sheetId="1" r:id="rId1"/>
    <sheet name="Приход товаров" sheetId="2" r:id="rId2"/>
    <sheet name="Расход товаров" sheetId="3" r:id="rId3"/>
    <sheet name="Расходы" sheetId="4" r:id="rId4"/>
    <sheet name="Финансовый результат" sheetId="5" r:id="rId5"/>
    <sheet name="Январь" sheetId="6" r:id="rId6"/>
    <sheet name="Февраль" sheetId="7" r:id="rId7"/>
    <sheet name="Март" sheetId="8" r:id="rId8"/>
    <sheet name="Апрель" sheetId="9" r:id="rId9"/>
    <sheet name="Май" sheetId="10" r:id="rId10"/>
    <sheet name="Июнь" sheetId="11" r:id="rId11"/>
    <sheet name="Июль" sheetId="12" r:id="rId12"/>
    <sheet name="Август" sheetId="13" r:id="rId13"/>
    <sheet name="Сентябрь" sheetId="14" r:id="rId14"/>
    <sheet name="Октябрь" sheetId="15" r:id="rId15"/>
    <sheet name="Ноябрь" sheetId="16" r:id="rId16"/>
    <sheet name="Декабрь" sheetId="17" r:id="rId17"/>
    <sheet name="Справочник" sheetId="18" r:id="rId18"/>
  </sheets>
</workbook>
</file>

<file path=xl/sharedStrings.xml><?xml version="1.0" encoding="utf-8"?>
<sst xmlns="http://schemas.openxmlformats.org/spreadsheetml/2006/main" count="115" uniqueCount="115">
  <si>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</si>
  <si>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</si>
  <si>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</si>
  <si>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</si>
  <si>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</si>
  <si>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</si>
  <si>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</si>
  <si>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</si>
  <si>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</si>
  <si>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</si>
  <si>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</si>
  <si>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</si>
  <si>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</si>
  <si>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</si>
  <si>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</si>
  <si>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</si>
  <si>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</si>
  <si>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</si>
  <si>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</si>
  <si>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</si>
  <si>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</si>
  <si>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</si>
  <si>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</si>
  <si>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</si>
  <si>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Склад</t>
  </si>
  <si>
    <t xml:space="preserve">Приход товаров</t>
  </si>
  <si>
    <t xml:space="preserve">Расход товаров</t>
  </si>
  <si>
    <t xml:space="preserve">Расходы</t>
  </si>
  <si>
    <t xml:space="preserve">Финансовый результат</t>
  </si>
  <si>
    <t xml:space="preserve">Справочник</t>
  </si>
  <si>
    <t xml:space="preserve">Оплачено</t>
  </si>
  <si>
    <t xml:space="preserve">Не оплачено</t>
  </si>
  <si>
    <t xml:space="preserve">Карта</t>
  </si>
  <si>
    <t xml:space="preserve">Наличные</t>
  </si>
  <si>
    <t xml:space="preserve">Терминал</t>
  </si>
  <si>
    <t xml:space="preserve">Перечисление</t>
  </si>
  <si>
    <t xml:space="preserve">Отправлено</t>
  </si>
  <si>
    <t xml:space="preserve">Не отправлено</t>
  </si>
  <si>
    <t xml:space="preserve">Принято</t>
  </si>
  <si>
    <t xml:space="preserve">Отклонено</t>
  </si>
  <si>
    <t xml:space="preserve">В наличии</t>
  </si>
  <si>
    <t xml:space="preserve">Мало</t>
  </si>
  <si>
    <t xml:space="preserve">Нет в наличии</t>
  </si>
  <si>
    <t xml:space="preserve">Аренда</t>
  </si>
  <si>
    <t xml:space="preserve">Зарплата</t>
  </si>
  <si>
    <t xml:space="preserve">Коммунальные услуги</t>
  </si>
  <si>
    <t xml:space="preserve">Транспорт</t>
  </si>
  <si>
    <t xml:space="preserve">Реклама</t>
  </si>
  <si>
    <t xml:space="preserve">Офисные расходы</t>
  </si>
  <si>
    <t xml:space="preserve">Налоги</t>
  </si>
  <si>
    <t xml:space="preserve">Закупка товаров</t>
  </si>
  <si>
    <t xml:space="preserve">Ремонт и обслуживание</t>
  </si>
  <si>
    <t xml:space="preserve">Связь и интернет</t>
  </si>
  <si>
    <t xml:space="preserve">Командировочные</t>
  </si>
  <si>
    <t xml:space="preserve">Прочие расходы</t>
  </si>
  <si>
    <t xml:space="preserve">Директор</t>
  </si>
  <si>
    <t xml:space="preserve">Бухгалтер</t>
  </si>
  <si>
    <t xml:space="preserve">Менеджер</t>
  </si>
  <si>
    <t xml:space="preserve">Кассир</t>
  </si>
  <si>
    <t xml:space="preserve">Снабженец</t>
  </si>
  <si>
    <t xml:space="preserve">Логист</t>
  </si>
  <si>
    <t xml:space="preserve">Маркетолог</t>
  </si>
  <si>
    <t xml:space="preserve">Администратор</t>
  </si>
  <si>
    <t xml:space="preserve">Технический специалист</t>
  </si>
  <si>
    <t xml:space="preserve">ИТОГО:</t>
  </si>
  <si>
    <t xml:space="preserve">Доходы (сум)</t>
  </si>
  <si>
    <t xml:space="preserve">Расходы (сум)</t>
  </si>
  <si>
    <t xml:space="preserve">Прибыль (сум)</t>
  </si>
  <si>
    <t xml:space="preserve">Месяц</t>
  </si>
  <si>
    <t xml:space="preserve">Статус</t>
  </si>
  <si>
    <t xml:space="preserve">Единица</t>
  </si>
  <si>
    <t xml:space="preserve">Количество</t>
  </si>
  <si>
    <t xml:space="preserve">Цена за ед. (сум)</t>
  </si>
  <si>
    <t xml:space="preserve">Сумма (сум)</t>
  </si>
  <si>
    <t xml:space="preserve">Дата прихода</t>
  </si>
  <si>
    <t xml:space="preserve">Дата расхода</t>
  </si>
  <si>
    <t xml:space="preserve">Дата</t>
  </si>
  <si>
    <t xml:space="preserve">№</t>
  </si>
  <si>
    <t xml:space="preserve">Наименование товара</t>
  </si>
  <si>
    <t xml:space="preserve">Покупатель</t>
  </si>
  <si>
    <t xml:space="preserve">Дата заказа</t>
  </si>
  <si>
    <t xml:space="preserve">№ договора</t>
  </si>
  <si>
    <t xml:space="preserve">№ счёт-фактуры</t>
  </si>
  <si>
    <t xml:space="preserve">Тип оплаты</t>
  </si>
  <si>
    <t xml:space="preserve">Статус оплаты</t>
  </si>
  <si>
    <t xml:space="preserve">Статус счёт-фактуры</t>
  </si>
  <si>
    <t xml:space="preserve">Ответственный</t>
  </si>
  <si>
    <t xml:space="preserve">Примечание</t>
  </si>
  <si>
    <t xml:space="preserve">Статья расхода</t>
  </si>
  <si>
    <t xml:space="preserve">СКЛАД — УЧЁТ ОСТАТКОВ ТОВАРОВ</t>
  </si>
  <si>
    <t xml:space="preserve">ПРИХОД ТОВАРОВ</t>
  </si>
  <si>
    <t xml:space="preserve">РАСХОД ТОВАРОВ</t>
  </si>
  <si>
    <t xml:space="preserve">РАСХОДЫ</t>
  </si>
  <si>
    <t xml:space="preserve">ФИНАНСОВЫЙ РЕЗУЛЬТАТ</t>
  </si>
  <si>
    <t xml:space="preserve">Автоматический расчёт: остаток = сумма прихода − сумма расхода</t>
  </si>
  <si>
    <t xml:space="preserve">Здесь вводятся все поступления товаров. Склад обновляется автоматически.</t>
  </si>
  <si>
    <t xml:space="preserve">Списание товаров. Остаток на складе уменьшается автоматически.</t>
  </si>
  <si>
    <t xml:space="preserve">Введите дату — сумма автоматически попадёт в нужный месяц «Финансового результата».</t>
  </si>
  <si>
    <t xml:space="preserve">Обзор доходов, расходов и прибыли по месяцам</t>
  </si>
  <si>
    <t xml:space="preserve">СПРАВОЧНИК (источник для выпадающих списков)</t>
  </si>
  <si>
    <t xml:space="preserve">Приход (кол.)</t>
  </si>
  <si>
    <t xml:space="preserve">Расход (кол.)</t>
  </si>
  <si>
    <t xml:space="preserve">Остаток (кол.)</t>
  </si>
  <si>
    <t xml:space="preserve">ДОХОДЫ — ЯНВАРЬ 2026</t>
  </si>
  <si>
    <t xml:space="preserve">ДОХОДЫ — ФЕВРАЛЬ 2026</t>
  </si>
  <si>
    <t xml:space="preserve">ДОХОДЫ — МАРТ 2026</t>
  </si>
  <si>
    <t xml:space="preserve">ДОХОДЫ — АПРЕЛЬ 2026</t>
  </si>
  <si>
    <t xml:space="preserve">ДОХОДЫ — МАЙ 2026</t>
  </si>
  <si>
    <t xml:space="preserve">ДОХОДЫ — ИЮНЬ 2026</t>
  </si>
  <si>
    <t xml:space="preserve">ДОХОДЫ — ИЮЛЬ 2026</t>
  </si>
  <si>
    <t xml:space="preserve">ДОХОДЫ — АВГУСТ 2026</t>
  </si>
  <si>
    <t xml:space="preserve">ДОХОДЫ — СЕНТЯБРЬ 2026</t>
  </si>
  <si>
    <t xml:space="preserve">ДОХОДЫ — ОКТЯБРЬ 2026</t>
  </si>
  <si>
    <t xml:space="preserve">ДОХОДЫ — НОЯБРЬ 2026</t>
  </si>
  <si>
    <t xml:space="preserve">ДОХОДЫ — ДЕКАБРЬ 2026</t>
  </si>
</sst>
</file>

<file path=xl/styles.xml><?xml version="1.0" encoding="utf-8"?>
<styleSheet xmlns="http://schemas.openxmlformats.org/spreadsheetml/2006/main">
  <numFmts count="3">
    <numFmt numFmtId="164" formatCode="#,##0.00\ &quot;сум&quot;"/>
    <numFmt numFmtId="165" formatCode="DD.MM.YYYY"/>
    <numFmt numFmtId="166" formatCode="#,##0"/>
  </numFmts>
  <fonts count="11">
    <font>
      <sz val="11"/>
      <name val="Calibri"/>
      <color rgb="FF000000"/>
    </font>
    <font>
      <b/>
      <sz val="11"/>
      <name val="Calibri"/>
      <color rgb="FFFFFFFF"/>
    </font>
    <font>
      <b/>
      <sz val="11"/>
      <name val="Calibri"/>
      <color rgb="FF000000"/>
    </font>
    <font>
      <b/>
      <sz val="11"/>
      <name val="Calibri"/>
      <color rgb="FF1F3864"/>
    </font>
    <font>
      <sz val="9"/>
      <name val="Calibri"/>
      <color rgb="FF595959"/>
    </font>
    <font>
      <b/>
      <sz val="13"/>
      <name val="Calibri"/>
      <color rgb="FFFFFFFF"/>
    </font>
    <font>
      <b/>
      <sz val="11"/>
      <name val="Calibri"/>
      <color rgb="FF375623"/>
    </font>
    <font>
      <b/>
      <sz val="11"/>
      <name val="Calibri"/>
      <color rgb="FF9C0006"/>
    </font>
    <font>
      <b/>
      <sz val="11"/>
      <name val="Calibri"/>
      <color rgb="FF1F6B75"/>
    </font>
    <font>
      <i/>
      <sz val="10"/>
      <name val="Calibri"/>
      <color rgb="FF737373"/>
    </font>
    <font>
      <b/>
      <sz val="11"/>
      <name val="Calibri"/>
      <color rgb="FFBF8F00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6B75"/>
      </patternFill>
    </fill>
    <fill>
      <patternFill patternType="solid">
        <fgColor rgb="FFBF8F00"/>
      </patternFill>
    </fill>
    <fill>
      <patternFill patternType="solid">
        <fgColor rgb="FFFCE4D6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D6E4F7"/>
      </patternFill>
    </fill>
  </fills>
  <borders count="5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none">
        <color rgb="FF1F3864"/>
      </left>
      <right style="none">
        <color rgb="FF1F3864"/>
      </right>
      <top style="none">
        <color rgb="FF1F3864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0" fillId="0" borderId="4" xfId="0" applyFont="1" applyFill="1" applyBorder="1" applyAlignment="1">
      <alignment vertical="center"/>
    </xf>
    <xf numFmtId="164" fontId="2" fillId="5" borderId="1" xfId="0" applyFont="1" applyFill="1" applyBorder="1" applyAlignment="1">
      <alignment horizontal="right" vertical="center"/>
    </xf>
    <xf numFmtId="165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66" fontId="0" fillId="0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6" fillId="6" borderId="1" xfId="0" applyFont="1" applyFill="1" applyBorder="1" applyAlignment="1">
      <alignment horizontal="right" vertical="center"/>
    </xf>
    <xf numFmtId="164" fontId="7" fillId="7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4" fontId="2" fillId="4" borderId="1" xfId="0" applyFont="1" applyFill="1" applyBorder="1" applyAlignment="1">
      <alignment horizontal="right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64" fontId="2" fillId="0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 wrapText="1"/>
    </xf>
    <xf numFmtId="164" fontId="0" fillId="11" borderId="4" xfId="0" applyFont="1" applyFill="1" applyBorder="1" applyAlignment="1">
      <alignment horizontal="right" vertical="center"/>
    </xf>
    <xf numFmtId="164" fontId="0" fillId="10" borderId="4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right" vertical="center"/>
    </xf>
    <xf numFmtId="164" fontId="2" fillId="12" borderId="1" xfId="0" applyFont="1" applyFill="1" applyBorder="1" applyAlignment="1">
      <alignment horizontal="right" vertical="center"/>
    </xf>
    <xf numFmtId="0" fontId="0" fillId="0" borderId="4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4" fontId="6" fillId="6" borderId="1" xfId="0" applyFont="1" applyFill="1" applyBorder="1" applyAlignment="1">
      <alignment horizontal="right" vertical="center"/>
    </xf>
    <xf numFmtId="164" fontId="7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6">
    <dxf>
      <fill>
        <patternFill>
          <fgColor rgb="FFFCE4D6"/>
        </patternFill>
      </fill>
    </dxf>
    <dxf>
      <fill>
        <patternFill>
          <fgColor rgb="FFFFC7CE"/>
        </patternFill>
      </fill>
      <font>
        <color rgb="FF9C0006"/>
      </font>
    </dxf>
    <dxf>
      <fill>
        <patternFill>
          <fgColor rgb="FFC6EFCE"/>
        </patternFill>
      </fill>
      <font>
        <b/>
        <color rgb="FF375623"/>
      </font>
    </dxf>
    <dxf>
      <fill>
        <patternFill>
          <fgColor rgb="FFFFC7CE"/>
        </patternFill>
      </fill>
      <font>
        <b/>
        <color rgb="FF9C0006"/>
      </font>
    </dxf>
    <dxf>
      <fill>
        <patternFill>
          <fgColor rgb="FFD0F0F0"/>
        </patternFill>
      </fill>
      <font>
        <color rgb="FF1F6B75"/>
      </font>
    </dxf>
    <dxf>
      <fill>
        <patternFill>
          <fgColor rgb="FFD6E4F0"/>
        </patternFill>
      </fill>
      <font>
        <color rgb="FF2E75B6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6B75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3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 ht="40" customHeight="1">
      <c r="A1" s="15" t="s">
        <v>89</v>
      </c>
    </row>
    <row r="2" ht="20" customHeight="1">
      <c r="A2" s="22" t="s">
        <v>94</v>
      </c>
    </row>
    <row r="3" ht="30" customHeight="1">
      <c r="A3" s="1" t="s">
        <v>77</v>
      </c>
      <c r="B3" s="1" t="s">
        <v>78</v>
      </c>
      <c r="C3" s="1" t="s">
        <v>70</v>
      </c>
      <c r="D3" s="1" t="s">
        <v>100</v>
      </c>
      <c r="E3" s="1" t="s">
        <v>101</v>
      </c>
      <c r="F3" s="1" t="s">
        <v>102</v>
      </c>
      <c r="G3" s="1" t="s">
        <v>69</v>
      </c>
    </row>
    <row r="4">
      <c r="A4" s="9">
        <v>1</v>
      </c>
      <c r="B4" s="7"/>
      <c r="C4" s="8"/>
      <c r="D4" s="9">
        <f>IF(B4="","",SUMIF('Приход товаров'!B:B,B4,'Приход товаров'!C:C))</f>
      </c>
      <c r="E4" s="9">
        <f>IF(B4="","",SUMIF('Расход товаров'!B:B,B4,'Расход товаров'!C:C))</f>
      </c>
      <c r="F4" s="9">
        <f>IF(B4="","",D4-E4)</f>
      </c>
      <c r="G4" s="8">
        <f>IF(B4="","",IF(F4&gt;10,"В наличии",IF(F4&gt;0,"Мало","Нет в наличии")))</f>
      </c>
    </row>
    <row r="5">
      <c r="A5" s="9">
        <v>2</v>
      </c>
      <c r="B5" s="7"/>
      <c r="C5" s="8"/>
      <c r="D5" s="9">
        <f>IF(B5="","",SUMIF('Приход товаров'!B:B,B5,'Приход товаров'!C:C))</f>
      </c>
      <c r="E5" s="9">
        <f>IF(B5="","",SUMIF('Расход товаров'!B:B,B5,'Расход товаров'!C:C))</f>
      </c>
      <c r="F5" s="9">
        <f>IF(B5="","",D5-E5)</f>
      </c>
      <c r="G5" s="8">
        <f>IF(B5="","",IF(F5&gt;10,"В наличии",IF(F5&gt;0,"Мало","Нет в наличии")))</f>
      </c>
    </row>
    <row r="6">
      <c r="A6" s="9">
        <v>3</v>
      </c>
      <c r="B6" s="7"/>
      <c r="C6" s="8"/>
      <c r="D6" s="9">
        <f>IF(B6="","",SUMIF('Приход товаров'!B:B,B6,'Приход товаров'!C:C))</f>
      </c>
      <c r="E6" s="9">
        <f>IF(B6="","",SUMIF('Расход товаров'!B:B,B6,'Расход товаров'!C:C))</f>
      </c>
      <c r="F6" s="9">
        <f>IF(B6="","",D6-E6)</f>
      </c>
      <c r="G6" s="8">
        <f>IF(B6="","",IF(F6&gt;10,"В наличии",IF(F6&gt;0,"Мало","Нет в наличии")))</f>
      </c>
    </row>
    <row r="7">
      <c r="A7" s="9">
        <v>4</v>
      </c>
      <c r="B7" s="7"/>
      <c r="C7" s="8"/>
      <c r="D7" s="9">
        <f>IF(B7="","",SUMIF('Приход товаров'!B:B,B7,'Приход товаров'!C:C))</f>
      </c>
      <c r="E7" s="9">
        <f>IF(B7="","",SUMIF('Расход товаров'!B:B,B7,'Расход товаров'!C:C))</f>
      </c>
      <c r="F7" s="9">
        <f>IF(B7="","",D7-E7)</f>
      </c>
      <c r="G7" s="8">
        <f>IF(B7="","",IF(F7&gt;10,"В наличии",IF(F7&gt;0,"Мало","Нет в наличии")))</f>
      </c>
    </row>
    <row r="8">
      <c r="A8" s="9">
        <v>5</v>
      </c>
      <c r="B8" s="7"/>
      <c r="C8" s="8"/>
      <c r="D8" s="9">
        <f>IF(B8="","",SUMIF('Приход товаров'!B:B,B8,'Приход товаров'!C:C))</f>
      </c>
      <c r="E8" s="9">
        <f>IF(B8="","",SUMIF('Расход товаров'!B:B,B8,'Расход товаров'!C:C))</f>
      </c>
      <c r="F8" s="9">
        <f>IF(B8="","",D8-E8)</f>
      </c>
      <c r="G8" s="8">
        <f>IF(B8="","",IF(F8&gt;10,"В наличии",IF(F8&gt;0,"Мало","Нет в наличии")))</f>
      </c>
    </row>
    <row r="9">
      <c r="A9" s="9">
        <v>6</v>
      </c>
      <c r="B9" s="7"/>
      <c r="C9" s="8"/>
      <c r="D9" s="9">
        <f>IF(B9="","",SUMIF('Приход товаров'!B:B,B9,'Приход товаров'!C:C))</f>
      </c>
      <c r="E9" s="9">
        <f>IF(B9="","",SUMIF('Расход товаров'!B:B,B9,'Расход товаров'!C:C))</f>
      </c>
      <c r="F9" s="9">
        <f>IF(B9="","",D9-E9)</f>
      </c>
      <c r="G9" s="8">
        <f>IF(B9="","",IF(F9&gt;10,"В наличии",IF(F9&gt;0,"Мало","Нет в наличии")))</f>
      </c>
    </row>
    <row r="10">
      <c r="A10" s="9">
        <v>7</v>
      </c>
      <c r="B10" s="7"/>
      <c r="C10" s="8"/>
      <c r="D10" s="9">
        <f>IF(B10="","",SUMIF('Приход товаров'!B:B,B10,'Приход товаров'!C:C))</f>
      </c>
      <c r="E10" s="9">
        <f>IF(B10="","",SUMIF('Расход товаров'!B:B,B10,'Расход товаров'!C:C))</f>
      </c>
      <c r="F10" s="9">
        <f>IF(B10="","",D10-E10)</f>
      </c>
      <c r="G10" s="8">
        <f>IF(B10="","",IF(F10&gt;10,"В наличии",IF(F10&gt;0,"Мало","Нет в наличии")))</f>
      </c>
    </row>
    <row r="11">
      <c r="A11" s="9">
        <v>8</v>
      </c>
      <c r="B11" s="7"/>
      <c r="C11" s="8"/>
      <c r="D11" s="9">
        <f>IF(B11="","",SUMIF('Приход товаров'!B:B,B11,'Приход товаров'!C:C))</f>
      </c>
      <c r="E11" s="9">
        <f>IF(B11="","",SUMIF('Расход товаров'!B:B,B11,'Расход товаров'!C:C))</f>
      </c>
      <c r="F11" s="9">
        <f>IF(B11="","",D11-E11)</f>
      </c>
      <c r="G11" s="8">
        <f>IF(B11="","",IF(F11&gt;10,"В наличии",IF(F11&gt;0,"Мало","Нет в наличии")))</f>
      </c>
    </row>
    <row r="12">
      <c r="A12" s="9">
        <v>9</v>
      </c>
      <c r="B12" s="7"/>
      <c r="C12" s="8"/>
      <c r="D12" s="9">
        <f>IF(B12="","",SUMIF('Приход товаров'!B:B,B12,'Приход товаров'!C:C))</f>
      </c>
      <c r="E12" s="9">
        <f>IF(B12="","",SUMIF('Расход товаров'!B:B,B12,'Расход товаров'!C:C))</f>
      </c>
      <c r="F12" s="9">
        <f>IF(B12="","",D12-E12)</f>
      </c>
      <c r="G12" s="8">
        <f>IF(B12="","",IF(F12&gt;10,"В наличии",IF(F12&gt;0,"Мало","Нет в наличии")))</f>
      </c>
    </row>
    <row r="13">
      <c r="A13" s="9">
        <v>10</v>
      </c>
      <c r="B13" s="7"/>
      <c r="C13" s="8"/>
      <c r="D13" s="9">
        <f>IF(B13="","",SUMIF('Приход товаров'!B:B,B13,'Приход товаров'!C:C))</f>
      </c>
      <c r="E13" s="9">
        <f>IF(B13="","",SUMIF('Расход товаров'!B:B,B13,'Расход товаров'!C:C))</f>
      </c>
      <c r="F13" s="9">
        <f>IF(B13="","",D13-E13)</f>
      </c>
      <c r="G13" s="8">
        <f>IF(B13="","",IF(F13&gt;10,"В наличии",IF(F13&gt;0,"Мало","Нет в наличии")))</f>
      </c>
    </row>
    <row r="14">
      <c r="A14" s="9">
        <v>11</v>
      </c>
      <c r="B14" s="7"/>
      <c r="C14" s="8"/>
      <c r="D14" s="9">
        <f>IF(B14="","",SUMIF('Приход товаров'!B:B,B14,'Приход товаров'!C:C))</f>
      </c>
      <c r="E14" s="9">
        <f>IF(B14="","",SUMIF('Расход товаров'!B:B,B14,'Расход товаров'!C:C))</f>
      </c>
      <c r="F14" s="9">
        <f>IF(B14="","",D14-E14)</f>
      </c>
      <c r="G14" s="8">
        <f>IF(B14="","",IF(F14&gt;10,"В наличии",IF(F14&gt;0,"Мало","Нет в наличии")))</f>
      </c>
    </row>
    <row r="15">
      <c r="A15" s="9">
        <v>12</v>
      </c>
      <c r="B15" s="7"/>
      <c r="C15" s="8"/>
      <c r="D15" s="9">
        <f>IF(B15="","",SUMIF('Приход товаров'!B:B,B15,'Приход товаров'!C:C))</f>
      </c>
      <c r="E15" s="9">
        <f>IF(B15="","",SUMIF('Расход товаров'!B:B,B15,'Расход товаров'!C:C))</f>
      </c>
      <c r="F15" s="9">
        <f>IF(B15="","",D15-E15)</f>
      </c>
      <c r="G15" s="8">
        <f>IF(B15="","",IF(F15&gt;10,"В наличии",IF(F15&gt;0,"Мало","Нет в наличии")))</f>
      </c>
    </row>
    <row r="16">
      <c r="A16" s="9">
        <v>13</v>
      </c>
      <c r="B16" s="7"/>
      <c r="C16" s="8"/>
      <c r="D16" s="9">
        <f>IF(B16="","",SUMIF('Приход товаров'!B:B,B16,'Приход товаров'!C:C))</f>
      </c>
      <c r="E16" s="9">
        <f>IF(B16="","",SUMIF('Расход товаров'!B:B,B16,'Расход товаров'!C:C))</f>
      </c>
      <c r="F16" s="9">
        <f>IF(B16="","",D16-E16)</f>
      </c>
      <c r="G16" s="8">
        <f>IF(B16="","",IF(F16&gt;10,"В наличии",IF(F16&gt;0,"Мало","Нет в наличии")))</f>
      </c>
    </row>
    <row r="17">
      <c r="A17" s="9">
        <v>14</v>
      </c>
      <c r="B17" s="7"/>
      <c r="C17" s="8"/>
      <c r="D17" s="9">
        <f>IF(B17="","",SUMIF('Приход товаров'!B:B,B17,'Приход товаров'!C:C))</f>
      </c>
      <c r="E17" s="9">
        <f>IF(B17="","",SUMIF('Расход товаров'!B:B,B17,'Расход товаров'!C:C))</f>
      </c>
      <c r="F17" s="9">
        <f>IF(B17="","",D17-E17)</f>
      </c>
      <c r="G17" s="8">
        <f>IF(B17="","",IF(F17&gt;10,"В наличии",IF(F17&gt;0,"Мало","Нет в наличии")))</f>
      </c>
    </row>
    <row r="18">
      <c r="A18" s="9">
        <v>15</v>
      </c>
      <c r="B18" s="7"/>
      <c r="C18" s="8"/>
      <c r="D18" s="9">
        <f>IF(B18="","",SUMIF('Приход товаров'!B:B,B18,'Приход товаров'!C:C))</f>
      </c>
      <c r="E18" s="9">
        <f>IF(B18="","",SUMIF('Расход товаров'!B:B,B18,'Расход товаров'!C:C))</f>
      </c>
      <c r="F18" s="9">
        <f>IF(B18="","",D18-E18)</f>
      </c>
      <c r="G18" s="8">
        <f>IF(B18="","",IF(F18&gt;10,"В наличии",IF(F18&gt;0,"Мало","Нет в наличии")))</f>
      </c>
    </row>
    <row r="19">
      <c r="A19" s="9">
        <v>16</v>
      </c>
      <c r="B19" s="7"/>
      <c r="C19" s="8"/>
      <c r="D19" s="9">
        <f>IF(B19="","",SUMIF('Приход товаров'!B:B,B19,'Приход товаров'!C:C))</f>
      </c>
      <c r="E19" s="9">
        <f>IF(B19="","",SUMIF('Расход товаров'!B:B,B19,'Расход товаров'!C:C))</f>
      </c>
      <c r="F19" s="9">
        <f>IF(B19="","",D19-E19)</f>
      </c>
      <c r="G19" s="8">
        <f>IF(B19="","",IF(F19&gt;10,"В наличии",IF(F19&gt;0,"Мало","Нет в наличии")))</f>
      </c>
    </row>
    <row r="20">
      <c r="A20" s="9">
        <v>17</v>
      </c>
      <c r="B20" s="7"/>
      <c r="C20" s="8"/>
      <c r="D20" s="9">
        <f>IF(B20="","",SUMIF('Приход товаров'!B:B,B20,'Приход товаров'!C:C))</f>
      </c>
      <c r="E20" s="9">
        <f>IF(B20="","",SUMIF('Расход товаров'!B:B,B20,'Расход товаров'!C:C))</f>
      </c>
      <c r="F20" s="9">
        <f>IF(B20="","",D20-E20)</f>
      </c>
      <c r="G20" s="8">
        <f>IF(B20="","",IF(F20&gt;10,"В наличии",IF(F20&gt;0,"Мало","Нет в наличии")))</f>
      </c>
    </row>
    <row r="21">
      <c r="A21" s="9">
        <v>18</v>
      </c>
      <c r="B21" s="7"/>
      <c r="C21" s="8"/>
      <c r="D21" s="9">
        <f>IF(B21="","",SUMIF('Приход товаров'!B:B,B21,'Приход товаров'!C:C))</f>
      </c>
      <c r="E21" s="9">
        <f>IF(B21="","",SUMIF('Расход товаров'!B:B,B21,'Расход товаров'!C:C))</f>
      </c>
      <c r="F21" s="9">
        <f>IF(B21="","",D21-E21)</f>
      </c>
      <c r="G21" s="8">
        <f>IF(B21="","",IF(F21&gt;10,"В наличии",IF(F21&gt;0,"Мало","Нет в наличии")))</f>
      </c>
    </row>
    <row r="22">
      <c r="A22" s="9">
        <v>19</v>
      </c>
      <c r="B22" s="7"/>
      <c r="C22" s="8"/>
      <c r="D22" s="9">
        <f>IF(B22="","",SUMIF('Приход товаров'!B:B,B22,'Приход товаров'!C:C))</f>
      </c>
      <c r="E22" s="9">
        <f>IF(B22="","",SUMIF('Расход товаров'!B:B,B22,'Расход товаров'!C:C))</f>
      </c>
      <c r="F22" s="9">
        <f>IF(B22="","",D22-E22)</f>
      </c>
      <c r="G22" s="8">
        <f>IF(B22="","",IF(F22&gt;10,"В наличии",IF(F22&gt;0,"Мало","Нет в наличии")))</f>
      </c>
    </row>
    <row r="23">
      <c r="A23" s="9">
        <v>20</v>
      </c>
      <c r="B23" s="7"/>
      <c r="C23" s="8"/>
      <c r="D23" s="9">
        <f>IF(B23="","",SUMIF('Приход товаров'!B:B,B23,'Приход товаров'!C:C))</f>
      </c>
      <c r="E23" s="9">
        <f>IF(B23="","",SUMIF('Расход товаров'!B:B,B23,'Расход товаров'!C:C))</f>
      </c>
      <c r="F23" s="9">
        <f>IF(B23="","",D23-E23)</f>
      </c>
      <c r="G23" s="8">
        <f>IF(B23="","",IF(F23&gt;10,"В наличии",IF(F23&gt;0,"Мало","Нет в наличии")))</f>
      </c>
    </row>
    <row r="24">
      <c r="A24" s="9">
        <v>21</v>
      </c>
      <c r="B24" s="7"/>
      <c r="C24" s="8"/>
      <c r="D24" s="9">
        <f>IF(B24="","",SUMIF('Приход товаров'!B:B,B24,'Приход товаров'!C:C))</f>
      </c>
      <c r="E24" s="9">
        <f>IF(B24="","",SUMIF('Расход товаров'!B:B,B24,'Расход товаров'!C:C))</f>
      </c>
      <c r="F24" s="9">
        <f>IF(B24="","",D24-E24)</f>
      </c>
      <c r="G24" s="8">
        <f>IF(B24="","",IF(F24&gt;10,"В наличии",IF(F24&gt;0,"Мало","Нет в наличии")))</f>
      </c>
    </row>
    <row r="25">
      <c r="A25" s="9">
        <v>22</v>
      </c>
      <c r="B25" s="7"/>
      <c r="C25" s="8"/>
      <c r="D25" s="9">
        <f>IF(B25="","",SUMIF('Приход товаров'!B:B,B25,'Приход товаров'!C:C))</f>
      </c>
      <c r="E25" s="9">
        <f>IF(B25="","",SUMIF('Расход товаров'!B:B,B25,'Расход товаров'!C:C))</f>
      </c>
      <c r="F25" s="9">
        <f>IF(B25="","",D25-E25)</f>
      </c>
      <c r="G25" s="8">
        <f>IF(B25="","",IF(F25&gt;10,"В наличии",IF(F25&gt;0,"Мало","Нет в наличии")))</f>
      </c>
    </row>
    <row r="26">
      <c r="A26" s="9">
        <v>23</v>
      </c>
      <c r="B26" s="7"/>
      <c r="C26" s="8"/>
      <c r="D26" s="9">
        <f>IF(B26="","",SUMIF('Приход товаров'!B:B,B26,'Приход товаров'!C:C))</f>
      </c>
      <c r="E26" s="9">
        <f>IF(B26="","",SUMIF('Расход товаров'!B:B,B26,'Расход товаров'!C:C))</f>
      </c>
      <c r="F26" s="9">
        <f>IF(B26="","",D26-E26)</f>
      </c>
      <c r="G26" s="8">
        <f>IF(B26="","",IF(F26&gt;10,"В наличии",IF(F26&gt;0,"Мало","Нет в наличии")))</f>
      </c>
    </row>
    <row r="27">
      <c r="A27" s="9">
        <v>24</v>
      </c>
      <c r="B27" s="7"/>
      <c r="C27" s="8"/>
      <c r="D27" s="9">
        <f>IF(B27="","",SUMIF('Приход товаров'!B:B,B27,'Приход товаров'!C:C))</f>
      </c>
      <c r="E27" s="9">
        <f>IF(B27="","",SUMIF('Расход товаров'!B:B,B27,'Расход товаров'!C:C))</f>
      </c>
      <c r="F27" s="9">
        <f>IF(B27="","",D27-E27)</f>
      </c>
      <c r="G27" s="8">
        <f>IF(B27="","",IF(F27&gt;10,"В наличии",IF(F27&gt;0,"Мало","Нет в наличии")))</f>
      </c>
    </row>
    <row r="28">
      <c r="A28" s="9">
        <v>25</v>
      </c>
      <c r="B28" s="7"/>
      <c r="C28" s="8"/>
      <c r="D28" s="9">
        <f>IF(B28="","",SUMIF('Приход товаров'!B:B,B28,'Приход товаров'!C:C))</f>
      </c>
      <c r="E28" s="9">
        <f>IF(B28="","",SUMIF('Расход товаров'!B:B,B28,'Расход товаров'!C:C))</f>
      </c>
      <c r="F28" s="9">
        <f>IF(B28="","",D28-E28)</f>
      </c>
      <c r="G28" s="8">
        <f>IF(B28="","",IF(F28&gt;10,"В наличии",IF(F28&gt;0,"Мало","Нет в наличии")))</f>
      </c>
    </row>
    <row r="29">
      <c r="A29" s="9">
        <v>26</v>
      </c>
      <c r="B29" s="7"/>
      <c r="C29" s="8"/>
      <c r="D29" s="9">
        <f>IF(B29="","",SUMIF('Приход товаров'!B:B,B29,'Приход товаров'!C:C))</f>
      </c>
      <c r="E29" s="9">
        <f>IF(B29="","",SUMIF('Расход товаров'!B:B,B29,'Расход товаров'!C:C))</f>
      </c>
      <c r="F29" s="9">
        <f>IF(B29="","",D29-E29)</f>
      </c>
      <c r="G29" s="8">
        <f>IF(B29="","",IF(F29&gt;10,"В наличии",IF(F29&gt;0,"Мало","Нет в наличии")))</f>
      </c>
    </row>
    <row r="30">
      <c r="A30" s="9">
        <v>27</v>
      </c>
      <c r="B30" s="7"/>
      <c r="C30" s="8"/>
      <c r="D30" s="9">
        <f>IF(B30="","",SUMIF('Приход товаров'!B:B,B30,'Приход товаров'!C:C))</f>
      </c>
      <c r="E30" s="9">
        <f>IF(B30="","",SUMIF('Расход товаров'!B:B,B30,'Расход товаров'!C:C))</f>
      </c>
      <c r="F30" s="9">
        <f>IF(B30="","",D30-E30)</f>
      </c>
      <c r="G30" s="8">
        <f>IF(B30="","",IF(F30&gt;10,"В наличии",IF(F30&gt;0,"Мало","Нет в наличии")))</f>
      </c>
    </row>
    <row r="31">
      <c r="A31" s="9">
        <v>28</v>
      </c>
      <c r="B31" s="7"/>
      <c r="C31" s="8"/>
      <c r="D31" s="9">
        <f>IF(B31="","",SUMIF('Приход товаров'!B:B,B31,'Приход товаров'!C:C))</f>
      </c>
      <c r="E31" s="9">
        <f>IF(B31="","",SUMIF('Расход товаров'!B:B,B31,'Расход товаров'!C:C))</f>
      </c>
      <c r="F31" s="9">
        <f>IF(B31="","",D31-E31)</f>
      </c>
      <c r="G31" s="8">
        <f>IF(B31="","",IF(F31&gt;10,"В наличии",IF(F31&gt;0,"Мало","Нет в наличии")))</f>
      </c>
    </row>
    <row r="32">
      <c r="A32" s="9">
        <v>29</v>
      </c>
      <c r="B32" s="7"/>
      <c r="C32" s="8"/>
      <c r="D32" s="9">
        <f>IF(B32="","",SUMIF('Приход товаров'!B:B,B32,'Приход товаров'!C:C))</f>
      </c>
      <c r="E32" s="9">
        <f>IF(B32="","",SUMIF('Расход товаров'!B:B,B32,'Расход товаров'!C:C))</f>
      </c>
      <c r="F32" s="9">
        <f>IF(B32="","",D32-E32)</f>
      </c>
      <c r="G32" s="8">
        <f>IF(B32="","",IF(F32&gt;10,"В наличии",IF(F32&gt;0,"Мало","Нет в наличии")))</f>
      </c>
    </row>
    <row r="33">
      <c r="A33" s="9">
        <v>30</v>
      </c>
      <c r="B33" s="7"/>
      <c r="C33" s="8"/>
      <c r="D33" s="9">
        <f>IF(B33="","",SUMIF('Приход товаров'!B:B,B33,'Приход товаров'!C:C))</f>
      </c>
      <c r="E33" s="9">
        <f>IF(B33="","",SUMIF('Расход товаров'!B:B,B33,'Расход товаров'!C:C))</f>
      </c>
      <c r="F33" s="9">
        <f>IF(B33="","",D33-E33)</f>
      </c>
      <c r="G33" s="8">
        <f>IF(B33="","",IF(F33&gt;10,"В наличии",IF(F33&gt;0,"Мало","Нет в наличии")))</f>
      </c>
    </row>
    <row r="34">
      <c r="A34" s="9">
        <v>31</v>
      </c>
      <c r="B34" s="7"/>
      <c r="C34" s="8"/>
      <c r="D34" s="9">
        <f>IF(B34="","",SUMIF('Приход товаров'!B:B,B34,'Приход товаров'!C:C))</f>
      </c>
      <c r="E34" s="9">
        <f>IF(B34="","",SUMIF('Расход товаров'!B:B,B34,'Расход товаров'!C:C))</f>
      </c>
      <c r="F34" s="9">
        <f>IF(B34="","",D34-E34)</f>
      </c>
      <c r="G34" s="8">
        <f>IF(B34="","",IF(F34&gt;10,"В наличии",IF(F34&gt;0,"Мало","Нет в наличии")))</f>
      </c>
    </row>
    <row r="35">
      <c r="A35" s="9">
        <v>32</v>
      </c>
      <c r="B35" s="7"/>
      <c r="C35" s="8"/>
      <c r="D35" s="9">
        <f>IF(B35="","",SUMIF('Приход товаров'!B:B,B35,'Приход товаров'!C:C))</f>
      </c>
      <c r="E35" s="9">
        <f>IF(B35="","",SUMIF('Расход товаров'!B:B,B35,'Расход товаров'!C:C))</f>
      </c>
      <c r="F35" s="9">
        <f>IF(B35="","",D35-E35)</f>
      </c>
      <c r="G35" s="8">
        <f>IF(B35="","",IF(F35&gt;10,"В наличии",IF(F35&gt;0,"Мало","Нет в наличии")))</f>
      </c>
    </row>
    <row r="36">
      <c r="A36" s="9">
        <v>33</v>
      </c>
      <c r="B36" s="7"/>
      <c r="C36" s="8"/>
      <c r="D36" s="9">
        <f>IF(B36="","",SUMIF('Приход товаров'!B:B,B36,'Приход товаров'!C:C))</f>
      </c>
      <c r="E36" s="9">
        <f>IF(B36="","",SUMIF('Расход товаров'!B:B,B36,'Расход товаров'!C:C))</f>
      </c>
      <c r="F36" s="9">
        <f>IF(B36="","",D36-E36)</f>
      </c>
      <c r="G36" s="8">
        <f>IF(B36="","",IF(F36&gt;10,"В наличии",IF(F36&gt;0,"Мало","Нет в наличии")))</f>
      </c>
    </row>
    <row r="37">
      <c r="A37" s="9">
        <v>34</v>
      </c>
      <c r="B37" s="7"/>
      <c r="C37" s="8"/>
      <c r="D37" s="9">
        <f>IF(B37="","",SUMIF('Приход товаров'!B:B,B37,'Приход товаров'!C:C))</f>
      </c>
      <c r="E37" s="9">
        <f>IF(B37="","",SUMIF('Расход товаров'!B:B,B37,'Расход товаров'!C:C))</f>
      </c>
      <c r="F37" s="9">
        <f>IF(B37="","",D37-E37)</f>
      </c>
      <c r="G37" s="8">
        <f>IF(B37="","",IF(F37&gt;10,"В наличии",IF(F37&gt;0,"Мало","Нет в наличии")))</f>
      </c>
    </row>
    <row r="38">
      <c r="A38" s="9">
        <v>35</v>
      </c>
      <c r="B38" s="7"/>
      <c r="C38" s="8"/>
      <c r="D38" s="9">
        <f>IF(B38="","",SUMIF('Приход товаров'!B:B,B38,'Приход товаров'!C:C))</f>
      </c>
      <c r="E38" s="9">
        <f>IF(B38="","",SUMIF('Расход товаров'!B:B,B38,'Расход товаров'!C:C))</f>
      </c>
      <c r="F38" s="9">
        <f>IF(B38="","",D38-E38)</f>
      </c>
      <c r="G38" s="8">
        <f>IF(B38="","",IF(F38&gt;10,"В наличии",IF(F38&gt;0,"Мало","Нет в наличии")))</f>
      </c>
    </row>
    <row r="39">
      <c r="A39" s="9">
        <v>36</v>
      </c>
      <c r="B39" s="7"/>
      <c r="C39" s="8"/>
      <c r="D39" s="9">
        <f>IF(B39="","",SUMIF('Приход товаров'!B:B,B39,'Приход товаров'!C:C))</f>
      </c>
      <c r="E39" s="9">
        <f>IF(B39="","",SUMIF('Расход товаров'!B:B,B39,'Расход товаров'!C:C))</f>
      </c>
      <c r="F39" s="9">
        <f>IF(B39="","",D39-E39)</f>
      </c>
      <c r="G39" s="8">
        <f>IF(B39="","",IF(F39&gt;10,"В наличии",IF(F39&gt;0,"Мало","Нет в наличии")))</f>
      </c>
    </row>
    <row r="40">
      <c r="A40" s="9">
        <v>37</v>
      </c>
      <c r="B40" s="7"/>
      <c r="C40" s="8"/>
      <c r="D40" s="9">
        <f>IF(B40="","",SUMIF('Приход товаров'!B:B,B40,'Приход товаров'!C:C))</f>
      </c>
      <c r="E40" s="9">
        <f>IF(B40="","",SUMIF('Расход товаров'!B:B,B40,'Расход товаров'!C:C))</f>
      </c>
      <c r="F40" s="9">
        <f>IF(B40="","",D40-E40)</f>
      </c>
      <c r="G40" s="8">
        <f>IF(B40="","",IF(F40&gt;10,"В наличии",IF(F40&gt;0,"Мало","Нет в наличии")))</f>
      </c>
    </row>
    <row r="41">
      <c r="A41" s="9">
        <v>38</v>
      </c>
      <c r="B41" s="7"/>
      <c r="C41" s="8"/>
      <c r="D41" s="9">
        <f>IF(B41="","",SUMIF('Приход товаров'!B:B,B41,'Приход товаров'!C:C))</f>
      </c>
      <c r="E41" s="9">
        <f>IF(B41="","",SUMIF('Расход товаров'!B:B,B41,'Расход товаров'!C:C))</f>
      </c>
      <c r="F41" s="9">
        <f>IF(B41="","",D41-E41)</f>
      </c>
      <c r="G41" s="8">
        <f>IF(B41="","",IF(F41&gt;10,"В наличии",IF(F41&gt;0,"Мало","Нет в наличии")))</f>
      </c>
    </row>
    <row r="42">
      <c r="A42" s="9">
        <v>39</v>
      </c>
      <c r="B42" s="7"/>
      <c r="C42" s="8"/>
      <c r="D42" s="9">
        <f>IF(B42="","",SUMIF('Приход товаров'!B:B,B42,'Приход товаров'!C:C))</f>
      </c>
      <c r="E42" s="9">
        <f>IF(B42="","",SUMIF('Расход товаров'!B:B,B42,'Расход товаров'!C:C))</f>
      </c>
      <c r="F42" s="9">
        <f>IF(B42="","",D42-E42)</f>
      </c>
      <c r="G42" s="8">
        <f>IF(B42="","",IF(F42&gt;10,"В наличии",IF(F42&gt;0,"Мало","Нет в наличии")))</f>
      </c>
    </row>
    <row r="43">
      <c r="A43" s="9">
        <v>40</v>
      </c>
      <c r="B43" s="7"/>
      <c r="C43" s="8"/>
      <c r="D43" s="9">
        <f>IF(B43="","",SUMIF('Приход товаров'!B:B,B43,'Приход товаров'!C:C))</f>
      </c>
      <c r="E43" s="9">
        <f>IF(B43="","",SUMIF('Расход товаров'!B:B,B43,'Расход товаров'!C:C))</f>
      </c>
      <c r="F43" s="9">
        <f>IF(B43="","",D43-E43)</f>
      </c>
      <c r="G43" s="8">
        <f>IF(B43="","",IF(F43&gt;10,"В наличии",IF(F43&gt;0,"Мало","Нет в наличии")))</f>
      </c>
    </row>
    <row r="44">
      <c r="A44" s="9">
        <v>41</v>
      </c>
      <c r="B44" s="7"/>
      <c r="C44" s="8"/>
      <c r="D44" s="9">
        <f>IF(B44="","",SUMIF('Приход товаров'!B:B,B44,'Приход товаров'!C:C))</f>
      </c>
      <c r="E44" s="9">
        <f>IF(B44="","",SUMIF('Расход товаров'!B:B,B44,'Расход товаров'!C:C))</f>
      </c>
      <c r="F44" s="9">
        <f>IF(B44="","",D44-E44)</f>
      </c>
      <c r="G44" s="8">
        <f>IF(B44="","",IF(F44&gt;10,"В наличии",IF(F44&gt;0,"Мало","Нет в наличии")))</f>
      </c>
    </row>
    <row r="45">
      <c r="A45" s="9">
        <v>42</v>
      </c>
      <c r="B45" s="7"/>
      <c r="C45" s="8"/>
      <c r="D45" s="9">
        <f>IF(B45="","",SUMIF('Приход товаров'!B:B,B45,'Приход товаров'!C:C))</f>
      </c>
      <c r="E45" s="9">
        <f>IF(B45="","",SUMIF('Расход товаров'!B:B,B45,'Расход товаров'!C:C))</f>
      </c>
      <c r="F45" s="9">
        <f>IF(B45="","",D45-E45)</f>
      </c>
      <c r="G45" s="8">
        <f>IF(B45="","",IF(F45&gt;10,"В наличии",IF(F45&gt;0,"Мало","Нет в наличии")))</f>
      </c>
    </row>
    <row r="46">
      <c r="A46" s="9">
        <v>43</v>
      </c>
      <c r="B46" s="7"/>
      <c r="C46" s="8"/>
      <c r="D46" s="9">
        <f>IF(B46="","",SUMIF('Приход товаров'!B:B,B46,'Приход товаров'!C:C))</f>
      </c>
      <c r="E46" s="9">
        <f>IF(B46="","",SUMIF('Расход товаров'!B:B,B46,'Расход товаров'!C:C))</f>
      </c>
      <c r="F46" s="9">
        <f>IF(B46="","",D46-E46)</f>
      </c>
      <c r="G46" s="8">
        <f>IF(B46="","",IF(F46&gt;10,"В наличии",IF(F46&gt;0,"Мало","Нет в наличии")))</f>
      </c>
    </row>
    <row r="47">
      <c r="A47" s="9">
        <v>44</v>
      </c>
      <c r="B47" s="7"/>
      <c r="C47" s="8"/>
      <c r="D47" s="9">
        <f>IF(B47="","",SUMIF('Приход товаров'!B:B,B47,'Приход товаров'!C:C))</f>
      </c>
      <c r="E47" s="9">
        <f>IF(B47="","",SUMIF('Расход товаров'!B:B,B47,'Расход товаров'!C:C))</f>
      </c>
      <c r="F47" s="9">
        <f>IF(B47="","",D47-E47)</f>
      </c>
      <c r="G47" s="8">
        <f>IF(B47="","",IF(F47&gt;10,"В наличии",IF(F47&gt;0,"Мало","Нет в наличии")))</f>
      </c>
    </row>
    <row r="48">
      <c r="A48" s="9">
        <v>45</v>
      </c>
      <c r="B48" s="7"/>
      <c r="C48" s="8"/>
      <c r="D48" s="9">
        <f>IF(B48="","",SUMIF('Приход товаров'!B:B,B48,'Приход товаров'!C:C))</f>
      </c>
      <c r="E48" s="9">
        <f>IF(B48="","",SUMIF('Расход товаров'!B:B,B48,'Расход товаров'!C:C))</f>
      </c>
      <c r="F48" s="9">
        <f>IF(B48="","",D48-E48)</f>
      </c>
      <c r="G48" s="8">
        <f>IF(B48="","",IF(F48&gt;10,"В наличии",IF(F48&gt;0,"Мало","Нет в наличии")))</f>
      </c>
    </row>
    <row r="49">
      <c r="A49" s="9">
        <v>46</v>
      </c>
      <c r="B49" s="7"/>
      <c r="C49" s="8"/>
      <c r="D49" s="9">
        <f>IF(B49="","",SUMIF('Приход товаров'!B:B,B49,'Приход товаров'!C:C))</f>
      </c>
      <c r="E49" s="9">
        <f>IF(B49="","",SUMIF('Расход товаров'!B:B,B49,'Расход товаров'!C:C))</f>
      </c>
      <c r="F49" s="9">
        <f>IF(B49="","",D49-E49)</f>
      </c>
      <c r="G49" s="8">
        <f>IF(B49="","",IF(F49&gt;10,"В наличии",IF(F49&gt;0,"Мало","Нет в наличии")))</f>
      </c>
    </row>
    <row r="50">
      <c r="A50" s="9">
        <v>47</v>
      </c>
      <c r="B50" s="7"/>
      <c r="C50" s="8"/>
      <c r="D50" s="9">
        <f>IF(B50="","",SUMIF('Приход товаров'!B:B,B50,'Приход товаров'!C:C))</f>
      </c>
      <c r="E50" s="9">
        <f>IF(B50="","",SUMIF('Расход товаров'!B:B,B50,'Расход товаров'!C:C))</f>
      </c>
      <c r="F50" s="9">
        <f>IF(B50="","",D50-E50)</f>
      </c>
      <c r="G50" s="8">
        <f>IF(B50="","",IF(F50&gt;10,"В наличии",IF(F50&gt;0,"Мало","Нет в наличии")))</f>
      </c>
    </row>
    <row r="51">
      <c r="A51" s="9">
        <v>48</v>
      </c>
      <c r="B51" s="7"/>
      <c r="C51" s="8"/>
      <c r="D51" s="9">
        <f>IF(B51="","",SUMIF('Приход товаров'!B:B,B51,'Приход товаров'!C:C))</f>
      </c>
      <c r="E51" s="9">
        <f>IF(B51="","",SUMIF('Расход товаров'!B:B,B51,'Расход товаров'!C:C))</f>
      </c>
      <c r="F51" s="9">
        <f>IF(B51="","",D51-E51)</f>
      </c>
      <c r="G51" s="8">
        <f>IF(B51="","",IF(F51&gt;10,"В наличии",IF(F51&gt;0,"Мало","Нет в наличии")))</f>
      </c>
    </row>
    <row r="52">
      <c r="A52" s="9">
        <v>49</v>
      </c>
      <c r="B52" s="7"/>
      <c r="C52" s="8"/>
      <c r="D52" s="9">
        <f>IF(B52="","",SUMIF('Приход товаров'!B:B,B52,'Приход товаров'!C:C))</f>
      </c>
      <c r="E52" s="9">
        <f>IF(B52="","",SUMIF('Расход товаров'!B:B,B52,'Расход товаров'!C:C))</f>
      </c>
      <c r="F52" s="9">
        <f>IF(B52="","",D52-E52)</f>
      </c>
      <c r="G52" s="8">
        <f>IF(B52="","",IF(F52&gt;10,"В наличии",IF(F52&gt;0,"Мало","Нет в наличии")))</f>
      </c>
    </row>
    <row r="53">
      <c r="A53" s="9">
        <v>50</v>
      </c>
      <c r="B53" s="7"/>
      <c r="C53" s="8"/>
      <c r="D53" s="9">
        <f>IF(B53="","",SUMIF('Приход товаров'!B:B,B53,'Приход товаров'!C:C))</f>
      </c>
      <c r="E53" s="9">
        <f>IF(B53="","",SUMIF('Расход товаров'!B:B,B53,'Расход товаров'!C:C))</f>
      </c>
      <c r="F53" s="9">
        <f>IF(B53="","",D53-E53)</f>
      </c>
      <c r="G53" s="8">
        <f>IF(B53="","",IF(F53&gt;10,"В наличии",IF(F53&gt;0,"Мало","Нет в наличии")))</f>
      </c>
    </row>
    <row r="54">
      <c r="A54" s="9">
        <v>51</v>
      </c>
      <c r="B54" s="7"/>
      <c r="C54" s="8"/>
      <c r="D54" s="9">
        <f>IF(B54="","",SUMIF('Приход товаров'!B:B,B54,'Приход товаров'!C:C))</f>
      </c>
      <c r="E54" s="9">
        <f>IF(B54="","",SUMIF('Расход товаров'!B:B,B54,'Расход товаров'!C:C))</f>
      </c>
      <c r="F54" s="9">
        <f>IF(B54="","",D54-E54)</f>
      </c>
      <c r="G54" s="8">
        <f>IF(B54="","",IF(F54&gt;10,"В наличии",IF(F54&gt;0,"Мало","Нет в наличии")))</f>
      </c>
    </row>
    <row r="55">
      <c r="A55" s="9">
        <v>52</v>
      </c>
      <c r="B55" s="7"/>
      <c r="C55" s="8"/>
      <c r="D55" s="9">
        <f>IF(B55="","",SUMIF('Приход товаров'!B:B,B55,'Приход товаров'!C:C))</f>
      </c>
      <c r="E55" s="9">
        <f>IF(B55="","",SUMIF('Расход товаров'!B:B,B55,'Расход товаров'!C:C))</f>
      </c>
      <c r="F55" s="9">
        <f>IF(B55="","",D55-E55)</f>
      </c>
      <c r="G55" s="8">
        <f>IF(B55="","",IF(F55&gt;10,"В наличии",IF(F55&gt;0,"Мало","Нет в наличии")))</f>
      </c>
    </row>
    <row r="56">
      <c r="A56" s="9">
        <v>53</v>
      </c>
      <c r="B56" s="7"/>
      <c r="C56" s="8"/>
      <c r="D56" s="9">
        <f>IF(B56="","",SUMIF('Приход товаров'!B:B,B56,'Приход товаров'!C:C))</f>
      </c>
      <c r="E56" s="9">
        <f>IF(B56="","",SUMIF('Расход товаров'!B:B,B56,'Расход товаров'!C:C))</f>
      </c>
      <c r="F56" s="9">
        <f>IF(B56="","",D56-E56)</f>
      </c>
      <c r="G56" s="8">
        <f>IF(B56="","",IF(F56&gt;10,"В наличии",IF(F56&gt;0,"Мало","Нет в наличии")))</f>
      </c>
    </row>
    <row r="57">
      <c r="A57" s="9">
        <v>54</v>
      </c>
      <c r="B57" s="7"/>
      <c r="C57" s="8"/>
      <c r="D57" s="9">
        <f>IF(B57="","",SUMIF('Приход товаров'!B:B,B57,'Приход товаров'!C:C))</f>
      </c>
      <c r="E57" s="9">
        <f>IF(B57="","",SUMIF('Расход товаров'!B:B,B57,'Расход товаров'!C:C))</f>
      </c>
      <c r="F57" s="9">
        <f>IF(B57="","",D57-E57)</f>
      </c>
      <c r="G57" s="8">
        <f>IF(B57="","",IF(F57&gt;10,"В наличии",IF(F57&gt;0,"Мало","Нет в наличии")))</f>
      </c>
    </row>
    <row r="58">
      <c r="A58" s="9">
        <v>55</v>
      </c>
      <c r="B58" s="7"/>
      <c r="C58" s="8"/>
      <c r="D58" s="9">
        <f>IF(B58="","",SUMIF('Приход товаров'!B:B,B58,'Приход товаров'!C:C))</f>
      </c>
      <c r="E58" s="9">
        <f>IF(B58="","",SUMIF('Расход товаров'!B:B,B58,'Расход товаров'!C:C))</f>
      </c>
      <c r="F58" s="9">
        <f>IF(B58="","",D58-E58)</f>
      </c>
      <c r="G58" s="8">
        <f>IF(B58="","",IF(F58&gt;10,"В наличии",IF(F58&gt;0,"Мало","Нет в наличии")))</f>
      </c>
    </row>
    <row r="59">
      <c r="A59" s="9">
        <v>56</v>
      </c>
      <c r="B59" s="7"/>
      <c r="C59" s="8"/>
      <c r="D59" s="9">
        <f>IF(B59="","",SUMIF('Приход товаров'!B:B,B59,'Приход товаров'!C:C))</f>
      </c>
      <c r="E59" s="9">
        <f>IF(B59="","",SUMIF('Расход товаров'!B:B,B59,'Расход товаров'!C:C))</f>
      </c>
      <c r="F59" s="9">
        <f>IF(B59="","",D59-E59)</f>
      </c>
      <c r="G59" s="8">
        <f>IF(B59="","",IF(F59&gt;10,"В наличии",IF(F59&gt;0,"Мало","Нет в наличии")))</f>
      </c>
    </row>
    <row r="60">
      <c r="A60" s="9">
        <v>57</v>
      </c>
      <c r="B60" s="7"/>
      <c r="C60" s="8"/>
      <c r="D60" s="9">
        <f>IF(B60="","",SUMIF('Приход товаров'!B:B,B60,'Приход товаров'!C:C))</f>
      </c>
      <c r="E60" s="9">
        <f>IF(B60="","",SUMIF('Расход товаров'!B:B,B60,'Расход товаров'!C:C))</f>
      </c>
      <c r="F60" s="9">
        <f>IF(B60="","",D60-E60)</f>
      </c>
      <c r="G60" s="8">
        <f>IF(B60="","",IF(F60&gt;10,"В наличии",IF(F60&gt;0,"Мало","Нет в наличии")))</f>
      </c>
    </row>
    <row r="61">
      <c r="A61" s="9">
        <v>58</v>
      </c>
      <c r="B61" s="7"/>
      <c r="C61" s="8"/>
      <c r="D61" s="9">
        <f>IF(B61="","",SUMIF('Приход товаров'!B:B,B61,'Приход товаров'!C:C))</f>
      </c>
      <c r="E61" s="9">
        <f>IF(B61="","",SUMIF('Расход товаров'!B:B,B61,'Расход товаров'!C:C))</f>
      </c>
      <c r="F61" s="9">
        <f>IF(B61="","",D61-E61)</f>
      </c>
      <c r="G61" s="8">
        <f>IF(B61="","",IF(F61&gt;10,"В наличии",IF(F61&gt;0,"Мало","Нет в наличии")))</f>
      </c>
    </row>
    <row r="62">
      <c r="A62" s="9">
        <v>59</v>
      </c>
      <c r="B62" s="7"/>
      <c r="C62" s="8"/>
      <c r="D62" s="9">
        <f>IF(B62="","",SUMIF('Приход товаров'!B:B,B62,'Приход товаров'!C:C))</f>
      </c>
      <c r="E62" s="9">
        <f>IF(B62="","",SUMIF('Расход товаров'!B:B,B62,'Расход товаров'!C:C))</f>
      </c>
      <c r="F62" s="9">
        <f>IF(B62="","",D62-E62)</f>
      </c>
      <c r="G62" s="8">
        <f>IF(B62="","",IF(F62&gt;10,"В наличии",IF(F62&gt;0,"Мало","Нет в наличии")))</f>
      </c>
    </row>
    <row r="63">
      <c r="A63" s="9">
        <v>60</v>
      </c>
      <c r="B63" s="7"/>
      <c r="C63" s="8"/>
      <c r="D63" s="9">
        <f>IF(B63="","",SUMIF('Приход товаров'!B:B,B63,'Приход товаров'!C:C))</f>
      </c>
      <c r="E63" s="9">
        <f>IF(B63="","",SUMIF('Расход товаров'!B:B,B63,'Расход товаров'!C:C))</f>
      </c>
      <c r="F63" s="9">
        <f>IF(B63="","",D63-E63)</f>
      </c>
      <c r="G63" s="8">
        <f>IF(B63="","",IF(F63&gt;10,"В наличии",IF(F63&gt;0,"Мало","Нет в наличии")))</f>
      </c>
    </row>
    <row r="64">
      <c r="A64" s="9">
        <v>61</v>
      </c>
      <c r="B64" s="7"/>
      <c r="C64" s="8"/>
      <c r="D64" s="9">
        <f>IF(B64="","",SUMIF('Приход товаров'!B:B,B64,'Приход товаров'!C:C))</f>
      </c>
      <c r="E64" s="9">
        <f>IF(B64="","",SUMIF('Расход товаров'!B:B,B64,'Расход товаров'!C:C))</f>
      </c>
      <c r="F64" s="9">
        <f>IF(B64="","",D64-E64)</f>
      </c>
      <c r="G64" s="8">
        <f>IF(B64="","",IF(F64&gt;10,"В наличии",IF(F64&gt;0,"Мало","Нет в наличии")))</f>
      </c>
    </row>
    <row r="65">
      <c r="A65" s="9">
        <v>62</v>
      </c>
      <c r="B65" s="7"/>
      <c r="C65" s="8"/>
      <c r="D65" s="9">
        <f>IF(B65="","",SUMIF('Приход товаров'!B:B,B65,'Приход товаров'!C:C))</f>
      </c>
      <c r="E65" s="9">
        <f>IF(B65="","",SUMIF('Расход товаров'!B:B,B65,'Расход товаров'!C:C))</f>
      </c>
      <c r="F65" s="9">
        <f>IF(B65="","",D65-E65)</f>
      </c>
      <c r="G65" s="8">
        <f>IF(B65="","",IF(F65&gt;10,"В наличии",IF(F65&gt;0,"Мало","Нет в наличии")))</f>
      </c>
    </row>
    <row r="66">
      <c r="A66" s="9">
        <v>63</v>
      </c>
      <c r="B66" s="7"/>
      <c r="C66" s="8"/>
      <c r="D66" s="9">
        <f>IF(B66="","",SUMIF('Приход товаров'!B:B,B66,'Приход товаров'!C:C))</f>
      </c>
      <c r="E66" s="9">
        <f>IF(B66="","",SUMIF('Расход товаров'!B:B,B66,'Расход товаров'!C:C))</f>
      </c>
      <c r="F66" s="9">
        <f>IF(B66="","",D66-E66)</f>
      </c>
      <c r="G66" s="8">
        <f>IF(B66="","",IF(F66&gt;10,"В наличии",IF(F66&gt;0,"Мало","Нет в наличии")))</f>
      </c>
    </row>
    <row r="67">
      <c r="A67" s="9">
        <v>64</v>
      </c>
      <c r="B67" s="7"/>
      <c r="C67" s="8"/>
      <c r="D67" s="9">
        <f>IF(B67="","",SUMIF('Приход товаров'!B:B,B67,'Приход товаров'!C:C))</f>
      </c>
      <c r="E67" s="9">
        <f>IF(B67="","",SUMIF('Расход товаров'!B:B,B67,'Расход товаров'!C:C))</f>
      </c>
      <c r="F67" s="9">
        <f>IF(B67="","",D67-E67)</f>
      </c>
      <c r="G67" s="8">
        <f>IF(B67="","",IF(F67&gt;10,"В наличии",IF(F67&gt;0,"Мало","Нет в наличии")))</f>
      </c>
    </row>
    <row r="68">
      <c r="A68" s="9">
        <v>65</v>
      </c>
      <c r="B68" s="7"/>
      <c r="C68" s="8"/>
      <c r="D68" s="9">
        <f>IF(B68="","",SUMIF('Приход товаров'!B:B,B68,'Приход товаров'!C:C))</f>
      </c>
      <c r="E68" s="9">
        <f>IF(B68="","",SUMIF('Расход товаров'!B:B,B68,'Расход товаров'!C:C))</f>
      </c>
      <c r="F68" s="9">
        <f>IF(B68="","",D68-E68)</f>
      </c>
      <c r="G68" s="8">
        <f>IF(B68="","",IF(F68&gt;10,"В наличии",IF(F68&gt;0,"Мало","Нет в наличии")))</f>
      </c>
    </row>
    <row r="69">
      <c r="A69" s="9">
        <v>66</v>
      </c>
      <c r="B69" s="7"/>
      <c r="C69" s="8"/>
      <c r="D69" s="9">
        <f>IF(B69="","",SUMIF('Приход товаров'!B:B,B69,'Приход товаров'!C:C))</f>
      </c>
      <c r="E69" s="9">
        <f>IF(B69="","",SUMIF('Расход товаров'!B:B,B69,'Расход товаров'!C:C))</f>
      </c>
      <c r="F69" s="9">
        <f>IF(B69="","",D69-E69)</f>
      </c>
      <c r="G69" s="8">
        <f>IF(B69="","",IF(F69&gt;10,"В наличии",IF(F69&gt;0,"Мало","Нет в наличии")))</f>
      </c>
    </row>
    <row r="70">
      <c r="A70" s="9">
        <v>67</v>
      </c>
      <c r="B70" s="7"/>
      <c r="C70" s="8"/>
      <c r="D70" s="9">
        <f>IF(B70="","",SUMIF('Приход товаров'!B:B,B70,'Приход товаров'!C:C))</f>
      </c>
      <c r="E70" s="9">
        <f>IF(B70="","",SUMIF('Расход товаров'!B:B,B70,'Расход товаров'!C:C))</f>
      </c>
      <c r="F70" s="9">
        <f>IF(B70="","",D70-E70)</f>
      </c>
      <c r="G70" s="8">
        <f>IF(B70="","",IF(F70&gt;10,"В наличии",IF(F70&gt;0,"Мало","Нет в наличии")))</f>
      </c>
    </row>
    <row r="71">
      <c r="A71" s="9">
        <v>68</v>
      </c>
      <c r="B71" s="7"/>
      <c r="C71" s="8"/>
      <c r="D71" s="9">
        <f>IF(B71="","",SUMIF('Приход товаров'!B:B,B71,'Приход товаров'!C:C))</f>
      </c>
      <c r="E71" s="9">
        <f>IF(B71="","",SUMIF('Расход товаров'!B:B,B71,'Расход товаров'!C:C))</f>
      </c>
      <c r="F71" s="9">
        <f>IF(B71="","",D71-E71)</f>
      </c>
      <c r="G71" s="8">
        <f>IF(B71="","",IF(F71&gt;10,"В наличии",IF(F71&gt;0,"Мало","Нет в наличии")))</f>
      </c>
    </row>
    <row r="72">
      <c r="A72" s="9">
        <v>69</v>
      </c>
      <c r="B72" s="7"/>
      <c r="C72" s="8"/>
      <c r="D72" s="9">
        <f>IF(B72="","",SUMIF('Приход товаров'!B:B,B72,'Приход товаров'!C:C))</f>
      </c>
      <c r="E72" s="9">
        <f>IF(B72="","",SUMIF('Расход товаров'!B:B,B72,'Расход товаров'!C:C))</f>
      </c>
      <c r="F72" s="9">
        <f>IF(B72="","",D72-E72)</f>
      </c>
      <c r="G72" s="8">
        <f>IF(B72="","",IF(F72&gt;10,"В наличии",IF(F72&gt;0,"Мало","Нет в наличии")))</f>
      </c>
    </row>
    <row r="73">
      <c r="A73" s="9">
        <v>70</v>
      </c>
      <c r="B73" s="7"/>
      <c r="C73" s="8"/>
      <c r="D73" s="9">
        <f>IF(B73="","",SUMIF('Приход товаров'!B:B,B73,'Приход товаров'!C:C))</f>
      </c>
      <c r="E73" s="9">
        <f>IF(B73="","",SUMIF('Расход товаров'!B:B,B73,'Расход товаров'!C:C))</f>
      </c>
      <c r="F73" s="9">
        <f>IF(B73="","",D73-E73)</f>
      </c>
      <c r="G73" s="8">
        <f>IF(B73="","",IF(F73&gt;10,"В наличии",IF(F73&gt;0,"Мало","Нет в наличии")))</f>
      </c>
    </row>
    <row r="74">
      <c r="A74" s="9">
        <v>71</v>
      </c>
      <c r="B74" s="7"/>
      <c r="C74" s="8"/>
      <c r="D74" s="9">
        <f>IF(B74="","",SUMIF('Приход товаров'!B:B,B74,'Приход товаров'!C:C))</f>
      </c>
      <c r="E74" s="9">
        <f>IF(B74="","",SUMIF('Расход товаров'!B:B,B74,'Расход товаров'!C:C))</f>
      </c>
      <c r="F74" s="9">
        <f>IF(B74="","",D74-E74)</f>
      </c>
      <c r="G74" s="8">
        <f>IF(B74="","",IF(F74&gt;10,"В наличии",IF(F74&gt;0,"Мало","Нет в наличии")))</f>
      </c>
    </row>
    <row r="75">
      <c r="A75" s="9">
        <v>72</v>
      </c>
      <c r="B75" s="7"/>
      <c r="C75" s="8"/>
      <c r="D75" s="9">
        <f>IF(B75="","",SUMIF('Приход товаров'!B:B,B75,'Приход товаров'!C:C))</f>
      </c>
      <c r="E75" s="9">
        <f>IF(B75="","",SUMIF('Расход товаров'!B:B,B75,'Расход товаров'!C:C))</f>
      </c>
      <c r="F75" s="9">
        <f>IF(B75="","",D75-E75)</f>
      </c>
      <c r="G75" s="8">
        <f>IF(B75="","",IF(F75&gt;10,"В наличии",IF(F75&gt;0,"Мало","Нет в наличии")))</f>
      </c>
    </row>
    <row r="76">
      <c r="A76" s="9">
        <v>73</v>
      </c>
      <c r="B76" s="7"/>
      <c r="C76" s="8"/>
      <c r="D76" s="9">
        <f>IF(B76="","",SUMIF('Приход товаров'!B:B,B76,'Приход товаров'!C:C))</f>
      </c>
      <c r="E76" s="9">
        <f>IF(B76="","",SUMIF('Расход товаров'!B:B,B76,'Расход товаров'!C:C))</f>
      </c>
      <c r="F76" s="9">
        <f>IF(B76="","",D76-E76)</f>
      </c>
      <c r="G76" s="8">
        <f>IF(B76="","",IF(F76&gt;10,"В наличии",IF(F76&gt;0,"Мало","Нет в наличии")))</f>
      </c>
    </row>
    <row r="77">
      <c r="A77" s="9">
        <v>74</v>
      </c>
      <c r="B77" s="7"/>
      <c r="C77" s="8"/>
      <c r="D77" s="9">
        <f>IF(B77="","",SUMIF('Приход товаров'!B:B,B77,'Приход товаров'!C:C))</f>
      </c>
      <c r="E77" s="9">
        <f>IF(B77="","",SUMIF('Расход товаров'!B:B,B77,'Расход товаров'!C:C))</f>
      </c>
      <c r="F77" s="9">
        <f>IF(B77="","",D77-E77)</f>
      </c>
      <c r="G77" s="8">
        <f>IF(B77="","",IF(F77&gt;10,"В наличии",IF(F77&gt;0,"Мало","Нет в наличии")))</f>
      </c>
    </row>
    <row r="78">
      <c r="A78" s="9">
        <v>75</v>
      </c>
      <c r="B78" s="7"/>
      <c r="C78" s="8"/>
      <c r="D78" s="9">
        <f>IF(B78="","",SUMIF('Приход товаров'!B:B,B78,'Приход товаров'!C:C))</f>
      </c>
      <c r="E78" s="9">
        <f>IF(B78="","",SUMIF('Расход товаров'!B:B,B78,'Расход товаров'!C:C))</f>
      </c>
      <c r="F78" s="9">
        <f>IF(B78="","",D78-E78)</f>
      </c>
      <c r="G78" s="8">
        <f>IF(B78="","",IF(F78&gt;10,"В наличии",IF(F78&gt;0,"Мало","Нет в наличии")))</f>
      </c>
    </row>
    <row r="79">
      <c r="A79" s="9">
        <v>76</v>
      </c>
      <c r="B79" s="7"/>
      <c r="C79" s="8"/>
      <c r="D79" s="9">
        <f>IF(B79="","",SUMIF('Приход товаров'!B:B,B79,'Приход товаров'!C:C))</f>
      </c>
      <c r="E79" s="9">
        <f>IF(B79="","",SUMIF('Расход товаров'!B:B,B79,'Расход товаров'!C:C))</f>
      </c>
      <c r="F79" s="9">
        <f>IF(B79="","",D79-E79)</f>
      </c>
      <c r="G79" s="8">
        <f>IF(B79="","",IF(F79&gt;10,"В наличии",IF(F79&gt;0,"Мало","Нет в наличии")))</f>
      </c>
    </row>
    <row r="80">
      <c r="A80" s="9">
        <v>77</v>
      </c>
      <c r="B80" s="7"/>
      <c r="C80" s="8"/>
      <c r="D80" s="9">
        <f>IF(B80="","",SUMIF('Приход товаров'!B:B,B80,'Приход товаров'!C:C))</f>
      </c>
      <c r="E80" s="9">
        <f>IF(B80="","",SUMIF('Расход товаров'!B:B,B80,'Расход товаров'!C:C))</f>
      </c>
      <c r="F80" s="9">
        <f>IF(B80="","",D80-E80)</f>
      </c>
      <c r="G80" s="8">
        <f>IF(B80="","",IF(F80&gt;10,"В наличии",IF(F80&gt;0,"Мало","Нет в наличии")))</f>
      </c>
    </row>
    <row r="81">
      <c r="A81" s="9">
        <v>78</v>
      </c>
      <c r="B81" s="7"/>
      <c r="C81" s="8"/>
      <c r="D81" s="9">
        <f>IF(B81="","",SUMIF('Приход товаров'!B:B,B81,'Приход товаров'!C:C))</f>
      </c>
      <c r="E81" s="9">
        <f>IF(B81="","",SUMIF('Расход товаров'!B:B,B81,'Расход товаров'!C:C))</f>
      </c>
      <c r="F81" s="9">
        <f>IF(B81="","",D81-E81)</f>
      </c>
      <c r="G81" s="8">
        <f>IF(B81="","",IF(F81&gt;10,"В наличии",IF(F81&gt;0,"Мало","Нет в наличии")))</f>
      </c>
    </row>
    <row r="82">
      <c r="A82" s="9">
        <v>79</v>
      </c>
      <c r="B82" s="7"/>
      <c r="C82" s="8"/>
      <c r="D82" s="9">
        <f>IF(B82="","",SUMIF('Приход товаров'!B:B,B82,'Приход товаров'!C:C))</f>
      </c>
      <c r="E82" s="9">
        <f>IF(B82="","",SUMIF('Расход товаров'!B:B,B82,'Расход товаров'!C:C))</f>
      </c>
      <c r="F82" s="9">
        <f>IF(B82="","",D82-E82)</f>
      </c>
      <c r="G82" s="8">
        <f>IF(B82="","",IF(F82&gt;10,"В наличии",IF(F82&gt;0,"Мало","Нет в наличии")))</f>
      </c>
    </row>
    <row r="83">
      <c r="A83" s="9">
        <v>80</v>
      </c>
      <c r="B83" s="7"/>
      <c r="C83" s="8"/>
      <c r="D83" s="9">
        <f>IF(B83="","",SUMIF('Приход товаров'!B:B,B83,'Приход товаров'!C:C))</f>
      </c>
      <c r="E83" s="9">
        <f>IF(B83="","",SUMIF('Расход товаров'!B:B,B83,'Расход товаров'!C:C))</f>
      </c>
      <c r="F83" s="9">
        <f>IF(B83="","",D83-E83)</f>
      </c>
      <c r="G83" s="8">
        <f>IF(B83="","",IF(F83&gt;10,"В наличии",IF(F83&gt;0,"Мало","Нет в наличии")))</f>
      </c>
    </row>
    <row r="84">
      <c r="A84" s="9">
        <v>81</v>
      </c>
      <c r="B84" s="7"/>
      <c r="C84" s="8"/>
      <c r="D84" s="9">
        <f>IF(B84="","",SUMIF('Приход товаров'!B:B,B84,'Приход товаров'!C:C))</f>
      </c>
      <c r="E84" s="9">
        <f>IF(B84="","",SUMIF('Расход товаров'!B:B,B84,'Расход товаров'!C:C))</f>
      </c>
      <c r="F84" s="9">
        <f>IF(B84="","",D84-E84)</f>
      </c>
      <c r="G84" s="8">
        <f>IF(B84="","",IF(F84&gt;10,"В наличии",IF(F84&gt;0,"Мало","Нет в наличии")))</f>
      </c>
    </row>
    <row r="85">
      <c r="A85" s="9">
        <v>82</v>
      </c>
      <c r="B85" s="7"/>
      <c r="C85" s="8"/>
      <c r="D85" s="9">
        <f>IF(B85="","",SUMIF('Приход товаров'!B:B,B85,'Приход товаров'!C:C))</f>
      </c>
      <c r="E85" s="9">
        <f>IF(B85="","",SUMIF('Расход товаров'!B:B,B85,'Расход товаров'!C:C))</f>
      </c>
      <c r="F85" s="9">
        <f>IF(B85="","",D85-E85)</f>
      </c>
      <c r="G85" s="8">
        <f>IF(B85="","",IF(F85&gt;10,"В наличии",IF(F85&gt;0,"Мало","Нет в наличии")))</f>
      </c>
    </row>
    <row r="86">
      <c r="A86" s="9">
        <v>83</v>
      </c>
      <c r="B86" s="7"/>
      <c r="C86" s="8"/>
      <c r="D86" s="9">
        <f>IF(B86="","",SUMIF('Приход товаров'!B:B,B86,'Приход товаров'!C:C))</f>
      </c>
      <c r="E86" s="9">
        <f>IF(B86="","",SUMIF('Расход товаров'!B:B,B86,'Расход товаров'!C:C))</f>
      </c>
      <c r="F86" s="9">
        <f>IF(B86="","",D86-E86)</f>
      </c>
      <c r="G86" s="8">
        <f>IF(B86="","",IF(F86&gt;10,"В наличии",IF(F86&gt;0,"Мало","Нет в наличии")))</f>
      </c>
    </row>
    <row r="87">
      <c r="A87" s="9">
        <v>84</v>
      </c>
      <c r="B87" s="7"/>
      <c r="C87" s="8"/>
      <c r="D87" s="9">
        <f>IF(B87="","",SUMIF('Приход товаров'!B:B,B87,'Приход товаров'!C:C))</f>
      </c>
      <c r="E87" s="9">
        <f>IF(B87="","",SUMIF('Расход товаров'!B:B,B87,'Расход товаров'!C:C))</f>
      </c>
      <c r="F87" s="9">
        <f>IF(B87="","",D87-E87)</f>
      </c>
      <c r="G87" s="8">
        <f>IF(B87="","",IF(F87&gt;10,"В наличии",IF(F87&gt;0,"Мало","Нет в наличии")))</f>
      </c>
    </row>
    <row r="88">
      <c r="A88" s="9">
        <v>85</v>
      </c>
      <c r="B88" s="7"/>
      <c r="C88" s="8"/>
      <c r="D88" s="9">
        <f>IF(B88="","",SUMIF('Приход товаров'!B:B,B88,'Приход товаров'!C:C))</f>
      </c>
      <c r="E88" s="9">
        <f>IF(B88="","",SUMIF('Расход товаров'!B:B,B88,'Расход товаров'!C:C))</f>
      </c>
      <c r="F88" s="9">
        <f>IF(B88="","",D88-E88)</f>
      </c>
      <c r="G88" s="8">
        <f>IF(B88="","",IF(F88&gt;10,"В наличии",IF(F88&gt;0,"Мало","Нет в наличии")))</f>
      </c>
    </row>
    <row r="89">
      <c r="A89" s="9">
        <v>86</v>
      </c>
      <c r="B89" s="7"/>
      <c r="C89" s="8"/>
      <c r="D89" s="9">
        <f>IF(B89="","",SUMIF('Приход товаров'!B:B,B89,'Приход товаров'!C:C))</f>
      </c>
      <c r="E89" s="9">
        <f>IF(B89="","",SUMIF('Расход товаров'!B:B,B89,'Расход товаров'!C:C))</f>
      </c>
      <c r="F89" s="9">
        <f>IF(B89="","",D89-E89)</f>
      </c>
      <c r="G89" s="8">
        <f>IF(B89="","",IF(F89&gt;10,"В наличии",IF(F89&gt;0,"Мало","Нет в наличии")))</f>
      </c>
    </row>
    <row r="90">
      <c r="A90" s="9">
        <v>87</v>
      </c>
      <c r="B90" s="7"/>
      <c r="C90" s="8"/>
      <c r="D90" s="9">
        <f>IF(B90="","",SUMIF('Приход товаров'!B:B,B90,'Приход товаров'!C:C))</f>
      </c>
      <c r="E90" s="9">
        <f>IF(B90="","",SUMIF('Расход товаров'!B:B,B90,'Расход товаров'!C:C))</f>
      </c>
      <c r="F90" s="9">
        <f>IF(B90="","",D90-E90)</f>
      </c>
      <c r="G90" s="8">
        <f>IF(B90="","",IF(F90&gt;10,"В наличии",IF(F90&gt;0,"Мало","Нет в наличии")))</f>
      </c>
    </row>
    <row r="91">
      <c r="A91" s="9">
        <v>88</v>
      </c>
      <c r="B91" s="7"/>
      <c r="C91" s="8"/>
      <c r="D91" s="9">
        <f>IF(B91="","",SUMIF('Приход товаров'!B:B,B91,'Приход товаров'!C:C))</f>
      </c>
      <c r="E91" s="9">
        <f>IF(B91="","",SUMIF('Расход товаров'!B:B,B91,'Расход товаров'!C:C))</f>
      </c>
      <c r="F91" s="9">
        <f>IF(B91="","",D91-E91)</f>
      </c>
      <c r="G91" s="8">
        <f>IF(B91="","",IF(F91&gt;10,"В наличии",IF(F91&gt;0,"Мало","Нет в наличии")))</f>
      </c>
    </row>
    <row r="92">
      <c r="A92" s="9">
        <v>89</v>
      </c>
      <c r="B92" s="7"/>
      <c r="C92" s="8"/>
      <c r="D92" s="9">
        <f>IF(B92="","",SUMIF('Приход товаров'!B:B,B92,'Приход товаров'!C:C))</f>
      </c>
      <c r="E92" s="9">
        <f>IF(B92="","",SUMIF('Расход товаров'!B:B,B92,'Расход товаров'!C:C))</f>
      </c>
      <c r="F92" s="9">
        <f>IF(B92="","",D92-E92)</f>
      </c>
      <c r="G92" s="8">
        <f>IF(B92="","",IF(F92&gt;10,"В наличии",IF(F92&gt;0,"Мало","Нет в наличии")))</f>
      </c>
    </row>
    <row r="93">
      <c r="A93" s="9">
        <v>90</v>
      </c>
      <c r="B93" s="7"/>
      <c r="C93" s="8"/>
      <c r="D93" s="9">
        <f>IF(B93="","",SUMIF('Приход товаров'!B:B,B93,'Приход товаров'!C:C))</f>
      </c>
      <c r="E93" s="9">
        <f>IF(B93="","",SUMIF('Расход товаров'!B:B,B93,'Расход товаров'!C:C))</f>
      </c>
      <c r="F93" s="9">
        <f>IF(B93="","",D93-E93)</f>
      </c>
      <c r="G93" s="8">
        <f>IF(B93="","",IF(F93&gt;10,"В наличии",IF(F93&gt;0,"Мало","Нет в наличии")))</f>
      </c>
    </row>
    <row r="94">
      <c r="A94" s="9">
        <v>91</v>
      </c>
      <c r="B94" s="7"/>
      <c r="C94" s="8"/>
      <c r="D94" s="9">
        <f>IF(B94="","",SUMIF('Приход товаров'!B:B,B94,'Приход товаров'!C:C))</f>
      </c>
      <c r="E94" s="9">
        <f>IF(B94="","",SUMIF('Расход товаров'!B:B,B94,'Расход товаров'!C:C))</f>
      </c>
      <c r="F94" s="9">
        <f>IF(B94="","",D94-E94)</f>
      </c>
      <c r="G94" s="8">
        <f>IF(B94="","",IF(F94&gt;10,"В наличии",IF(F94&gt;0,"Мало","Нет в наличии")))</f>
      </c>
    </row>
    <row r="95">
      <c r="A95" s="9">
        <v>92</v>
      </c>
      <c r="B95" s="7"/>
      <c r="C95" s="8"/>
      <c r="D95" s="9">
        <f>IF(B95="","",SUMIF('Приход товаров'!B:B,B95,'Приход товаров'!C:C))</f>
      </c>
      <c r="E95" s="9">
        <f>IF(B95="","",SUMIF('Расход товаров'!B:B,B95,'Расход товаров'!C:C))</f>
      </c>
      <c r="F95" s="9">
        <f>IF(B95="","",D95-E95)</f>
      </c>
      <c r="G95" s="8">
        <f>IF(B95="","",IF(F95&gt;10,"В наличии",IF(F95&gt;0,"Мало","Нет в наличии")))</f>
      </c>
    </row>
    <row r="96">
      <c r="A96" s="9">
        <v>93</v>
      </c>
      <c r="B96" s="7"/>
      <c r="C96" s="8"/>
      <c r="D96" s="9">
        <f>IF(B96="","",SUMIF('Приход товаров'!B:B,B96,'Приход товаров'!C:C))</f>
      </c>
      <c r="E96" s="9">
        <f>IF(B96="","",SUMIF('Расход товаров'!B:B,B96,'Расход товаров'!C:C))</f>
      </c>
      <c r="F96" s="9">
        <f>IF(B96="","",D96-E96)</f>
      </c>
      <c r="G96" s="8">
        <f>IF(B96="","",IF(F96&gt;10,"В наличии",IF(F96&gt;0,"Мало","Нет в наличии")))</f>
      </c>
    </row>
    <row r="97">
      <c r="A97" s="9">
        <v>94</v>
      </c>
      <c r="B97" s="7"/>
      <c r="C97" s="8"/>
      <c r="D97" s="9">
        <f>IF(B97="","",SUMIF('Приход товаров'!B:B,B97,'Приход товаров'!C:C))</f>
      </c>
      <c r="E97" s="9">
        <f>IF(B97="","",SUMIF('Расход товаров'!B:B,B97,'Расход товаров'!C:C))</f>
      </c>
      <c r="F97" s="9">
        <f>IF(B97="","",D97-E97)</f>
      </c>
      <c r="G97" s="8">
        <f>IF(B97="","",IF(F97&gt;10,"В наличии",IF(F97&gt;0,"Мало","Нет в наличии")))</f>
      </c>
    </row>
    <row r="98">
      <c r="A98" s="9">
        <v>95</v>
      </c>
      <c r="B98" s="7"/>
      <c r="C98" s="8"/>
      <c r="D98" s="9">
        <f>IF(B98="","",SUMIF('Приход товаров'!B:B,B98,'Приход товаров'!C:C))</f>
      </c>
      <c r="E98" s="9">
        <f>IF(B98="","",SUMIF('Расход товаров'!B:B,B98,'Расход товаров'!C:C))</f>
      </c>
      <c r="F98" s="9">
        <f>IF(B98="","",D98-E98)</f>
      </c>
      <c r="G98" s="8">
        <f>IF(B98="","",IF(F98&gt;10,"В наличии",IF(F98&gt;0,"Мало","Нет в наличии")))</f>
      </c>
    </row>
    <row r="99">
      <c r="A99" s="9">
        <v>96</v>
      </c>
      <c r="B99" s="7"/>
      <c r="C99" s="8"/>
      <c r="D99" s="9">
        <f>IF(B99="","",SUMIF('Приход товаров'!B:B,B99,'Приход товаров'!C:C))</f>
      </c>
      <c r="E99" s="9">
        <f>IF(B99="","",SUMIF('Расход товаров'!B:B,B99,'Расход товаров'!C:C))</f>
      </c>
      <c r="F99" s="9">
        <f>IF(B99="","",D99-E99)</f>
      </c>
      <c r="G99" s="8">
        <f>IF(B99="","",IF(F99&gt;10,"В наличии",IF(F99&gt;0,"Мало","Нет в наличии")))</f>
      </c>
    </row>
    <row r="100">
      <c r="A100" s="9">
        <v>97</v>
      </c>
      <c r="B100" s="7"/>
      <c r="C100" s="8"/>
      <c r="D100" s="9">
        <f>IF(B100="","",SUMIF('Приход товаров'!B:B,B100,'Приход товаров'!C:C))</f>
      </c>
      <c r="E100" s="9">
        <f>IF(B100="","",SUMIF('Расход товаров'!B:B,B100,'Расход товаров'!C:C))</f>
      </c>
      <c r="F100" s="9">
        <f>IF(B100="","",D100-E100)</f>
      </c>
      <c r="G100" s="8">
        <f>IF(B100="","",IF(F100&gt;10,"В наличии",IF(F100&gt;0,"Мало","Нет в наличии")))</f>
      </c>
    </row>
    <row r="101">
      <c r="A101" s="9">
        <v>98</v>
      </c>
      <c r="B101" s="7"/>
      <c r="C101" s="8"/>
      <c r="D101" s="9">
        <f>IF(B101="","",SUMIF('Приход товаров'!B:B,B101,'Приход товаров'!C:C))</f>
      </c>
      <c r="E101" s="9">
        <f>IF(B101="","",SUMIF('Расход товаров'!B:B,B101,'Расход товаров'!C:C))</f>
      </c>
      <c r="F101" s="9">
        <f>IF(B101="","",D101-E101)</f>
      </c>
      <c r="G101" s="8">
        <f>IF(B101="","",IF(F101&gt;10,"В наличии",IF(F101&gt;0,"Мало","Нет в наличии")))</f>
      </c>
    </row>
    <row r="102">
      <c r="A102" s="9">
        <v>99</v>
      </c>
      <c r="B102" s="7"/>
      <c r="C102" s="8"/>
      <c r="D102" s="9">
        <f>IF(B102="","",SUMIF('Приход товаров'!B:B,B102,'Приход товаров'!C:C))</f>
      </c>
      <c r="E102" s="9">
        <f>IF(B102="","",SUMIF('Расход товаров'!B:B,B102,'Расход товаров'!C:C))</f>
      </c>
      <c r="F102" s="9">
        <f>IF(B102="","",D102-E102)</f>
      </c>
      <c r="G102" s="8">
        <f>IF(B102="","",IF(F102&gt;10,"В наличии",IF(F102&gt;0,"Мало","Нет в наличии")))</f>
      </c>
    </row>
    <row r="103">
      <c r="A103" s="9">
        <v>100</v>
      </c>
      <c r="B103" s="7"/>
      <c r="C103" s="8"/>
      <c r="D103" s="9">
        <f>IF(B103="","",SUMIF('Приход товаров'!B:B,B103,'Приход товаров'!C:C))</f>
      </c>
      <c r="E103" s="9">
        <f>IF(B103="","",SUMIF('Расход товаров'!B:B,B103,'Расход товаров'!C:C))</f>
      </c>
      <c r="F103" s="9">
        <f>IF(B103="","",D103-E103)</f>
      </c>
      <c r="G103" s="8">
        <f>IF(B103="","",IF(F103&gt;10,"В наличии",IF(F103&gt;0,"Мало","Нет в наличии")))</f>
      </c>
    </row>
    <row r="104" ht="22" customHeight="1">
      <c r="A104" s="2" t="s">
        <v>64</v>
      </c>
      <c r="D104" s="5">
        <f>SUM(D4:D103)</f>
      </c>
      <c r="E104" s="5">
        <f>SUM(E4:E103)</f>
      </c>
      <c r="F104" s="5">
        <f>SUM(F4:F103)</f>
      </c>
    </row>
  </sheetData>
  <mergeCells count="2">
    <mergeCell ref="A1:G1"/>
    <mergeCell ref="A104:C104"/>
  </mergeCells>
  <conditionalFormatting sqref="F4:F103">
    <cfRule type="cellIs" operator="lessThanOrEqual" dxfId="1" priority="1">
      <formula>0</formula>
    </cfRule>
    <cfRule type="cellIs" operator="lessThanOrEqual" dxfId="0" priority="2">
      <formula>10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75623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30" customWidth="1"/>
    <col min="3" max="3" width="14" customWidth="1"/>
    <col min="4" max="4" width="16" customWidth="1"/>
    <col min="5" max="5" width="16" customWidth="1"/>
    <col min="6" max="6" width="12" customWidth="1"/>
  </cols>
  <sheetData>
    <row r="1" ht="40" customHeight="1">
      <c r="A1" s="15" t="s">
        <v>90</v>
      </c>
    </row>
    <row r="2">
      <c r="A2" s="22" t="s">
        <v>95</v>
      </c>
    </row>
    <row r="3" ht="28" customHeight="1">
      <c r="A3" s="1" t="s">
        <v>77</v>
      </c>
      <c r="B3" s="1" t="s">
        <v>78</v>
      </c>
      <c r="C3" s="1" t="s">
        <v>71</v>
      </c>
      <c r="D3" s="1" t="s">
        <v>72</v>
      </c>
      <c r="E3" s="1" t="s">
        <v>73</v>
      </c>
      <c r="F3" s="1" t="s">
        <v>74</v>
      </c>
    </row>
    <row r="4">
      <c r="A4" s="9">
        <v>1</v>
      </c>
      <c r="B4" s="7"/>
      <c r="C4" s="9"/>
      <c r="D4" s="4"/>
      <c r="E4" s="4">
        <f>IF(OR(C4="",D4=""),"",C4*D4)</f>
      </c>
      <c r="F4" s="6"/>
    </row>
    <row r="5">
      <c r="A5" s="9">
        <v>2</v>
      </c>
      <c r="B5" s="7"/>
      <c r="C5" s="9"/>
      <c r="D5" s="4"/>
      <c r="E5" s="4">
        <f>IF(OR(C5="",D5=""),"",C5*D5)</f>
      </c>
      <c r="F5" s="6"/>
    </row>
    <row r="6">
      <c r="A6" s="9">
        <v>3</v>
      </c>
      <c r="B6" s="7"/>
      <c r="C6" s="9"/>
      <c r="D6" s="4"/>
      <c r="E6" s="4">
        <f>IF(OR(C6="",D6=""),"",C6*D6)</f>
      </c>
      <c r="F6" s="6"/>
    </row>
    <row r="7">
      <c r="A7" s="9">
        <v>4</v>
      </c>
      <c r="B7" s="7"/>
      <c r="C7" s="9"/>
      <c r="D7" s="4"/>
      <c r="E7" s="4">
        <f>IF(OR(C7="",D7=""),"",C7*D7)</f>
      </c>
      <c r="F7" s="6"/>
    </row>
    <row r="8">
      <c r="A8" s="9">
        <v>5</v>
      </c>
      <c r="B8" s="7"/>
      <c r="C8" s="9"/>
      <c r="D8" s="4"/>
      <c r="E8" s="4">
        <f>IF(OR(C8="",D8=""),"",C8*D8)</f>
      </c>
      <c r="F8" s="6"/>
    </row>
    <row r="9">
      <c r="A9" s="9">
        <v>6</v>
      </c>
      <c r="B9" s="7"/>
      <c r="C9" s="9"/>
      <c r="D9" s="4"/>
      <c r="E9" s="4">
        <f>IF(OR(C9="",D9=""),"",C9*D9)</f>
      </c>
      <c r="F9" s="6"/>
    </row>
    <row r="10">
      <c r="A10" s="9">
        <v>7</v>
      </c>
      <c r="B10" s="7"/>
      <c r="C10" s="9"/>
      <c r="D10" s="4"/>
      <c r="E10" s="4">
        <f>IF(OR(C10="",D10=""),"",C10*D10)</f>
      </c>
      <c r="F10" s="6"/>
    </row>
    <row r="11">
      <c r="A11" s="9">
        <v>8</v>
      </c>
      <c r="B11" s="7"/>
      <c r="C11" s="9"/>
      <c r="D11" s="4"/>
      <c r="E11" s="4">
        <f>IF(OR(C11="",D11=""),"",C11*D11)</f>
      </c>
      <c r="F11" s="6"/>
    </row>
    <row r="12">
      <c r="A12" s="9">
        <v>9</v>
      </c>
      <c r="B12" s="7"/>
      <c r="C12" s="9"/>
      <c r="D12" s="4"/>
      <c r="E12" s="4">
        <f>IF(OR(C12="",D12=""),"",C12*D12)</f>
      </c>
      <c r="F12" s="6"/>
    </row>
    <row r="13">
      <c r="A13" s="9">
        <v>10</v>
      </c>
      <c r="B13" s="7"/>
      <c r="C13" s="9"/>
      <c r="D13" s="4"/>
      <c r="E13" s="4">
        <f>IF(OR(C13="",D13=""),"",C13*D13)</f>
      </c>
      <c r="F13" s="6"/>
    </row>
    <row r="14">
      <c r="A14" s="9">
        <v>11</v>
      </c>
      <c r="B14" s="7"/>
      <c r="C14" s="9"/>
      <c r="D14" s="4"/>
      <c r="E14" s="4">
        <f>IF(OR(C14="",D14=""),"",C14*D14)</f>
      </c>
      <c r="F14" s="6"/>
    </row>
    <row r="15">
      <c r="A15" s="9">
        <v>12</v>
      </c>
      <c r="B15" s="7"/>
      <c r="C15" s="9"/>
      <c r="D15" s="4"/>
      <c r="E15" s="4">
        <f>IF(OR(C15="",D15=""),"",C15*D15)</f>
      </c>
      <c r="F15" s="6"/>
    </row>
    <row r="16">
      <c r="A16" s="9">
        <v>13</v>
      </c>
      <c r="B16" s="7"/>
      <c r="C16" s="9"/>
      <c r="D16" s="4"/>
      <c r="E16" s="4">
        <f>IF(OR(C16="",D16=""),"",C16*D16)</f>
      </c>
      <c r="F16" s="6"/>
    </row>
    <row r="17">
      <c r="A17" s="9">
        <v>14</v>
      </c>
      <c r="B17" s="7"/>
      <c r="C17" s="9"/>
      <c r="D17" s="4"/>
      <c r="E17" s="4">
        <f>IF(OR(C17="",D17=""),"",C17*D17)</f>
      </c>
      <c r="F17" s="6"/>
    </row>
    <row r="18">
      <c r="A18" s="9">
        <v>15</v>
      </c>
      <c r="B18" s="7"/>
      <c r="C18" s="9"/>
      <c r="D18" s="4"/>
      <c r="E18" s="4">
        <f>IF(OR(C18="",D18=""),"",C18*D18)</f>
      </c>
      <c r="F18" s="6"/>
    </row>
    <row r="19">
      <c r="A19" s="9">
        <v>16</v>
      </c>
      <c r="B19" s="7"/>
      <c r="C19" s="9"/>
      <c r="D19" s="4"/>
      <c r="E19" s="4">
        <f>IF(OR(C19="",D19=""),"",C19*D19)</f>
      </c>
      <c r="F19" s="6"/>
    </row>
    <row r="20">
      <c r="A20" s="9">
        <v>17</v>
      </c>
      <c r="B20" s="7"/>
      <c r="C20" s="9"/>
      <c r="D20" s="4"/>
      <c r="E20" s="4">
        <f>IF(OR(C20="",D20=""),"",C20*D20)</f>
      </c>
      <c r="F20" s="6"/>
    </row>
    <row r="21">
      <c r="A21" s="9">
        <v>18</v>
      </c>
      <c r="B21" s="7"/>
      <c r="C21" s="9"/>
      <c r="D21" s="4"/>
      <c r="E21" s="4">
        <f>IF(OR(C21="",D21=""),"",C21*D21)</f>
      </c>
      <c r="F21" s="6"/>
    </row>
    <row r="22">
      <c r="A22" s="9">
        <v>19</v>
      </c>
      <c r="B22" s="7"/>
      <c r="C22" s="9"/>
      <c r="D22" s="4"/>
      <c r="E22" s="4">
        <f>IF(OR(C22="",D22=""),"",C22*D22)</f>
      </c>
      <c r="F22" s="6"/>
    </row>
    <row r="23">
      <c r="A23" s="9">
        <v>20</v>
      </c>
      <c r="B23" s="7"/>
      <c r="C23" s="9"/>
      <c r="D23" s="4"/>
      <c r="E23" s="4">
        <f>IF(OR(C23="",D23=""),"",C23*D23)</f>
      </c>
      <c r="F23" s="6"/>
    </row>
    <row r="24">
      <c r="A24" s="9">
        <v>21</v>
      </c>
      <c r="B24" s="7"/>
      <c r="C24" s="9"/>
      <c r="D24" s="4"/>
      <c r="E24" s="4">
        <f>IF(OR(C24="",D24=""),"",C24*D24)</f>
      </c>
      <c r="F24" s="6"/>
    </row>
    <row r="25">
      <c r="A25" s="9">
        <v>22</v>
      </c>
      <c r="B25" s="7"/>
      <c r="C25" s="9"/>
      <c r="D25" s="4"/>
      <c r="E25" s="4">
        <f>IF(OR(C25="",D25=""),"",C25*D25)</f>
      </c>
      <c r="F25" s="6"/>
    </row>
    <row r="26">
      <c r="A26" s="9">
        <v>23</v>
      </c>
      <c r="B26" s="7"/>
      <c r="C26" s="9"/>
      <c r="D26" s="4"/>
      <c r="E26" s="4">
        <f>IF(OR(C26="",D26=""),"",C26*D26)</f>
      </c>
      <c r="F26" s="6"/>
    </row>
    <row r="27">
      <c r="A27" s="9">
        <v>24</v>
      </c>
      <c r="B27" s="7"/>
      <c r="C27" s="9"/>
      <c r="D27" s="4"/>
      <c r="E27" s="4">
        <f>IF(OR(C27="",D27=""),"",C27*D27)</f>
      </c>
      <c r="F27" s="6"/>
    </row>
    <row r="28">
      <c r="A28" s="9">
        <v>25</v>
      </c>
      <c r="B28" s="7"/>
      <c r="C28" s="9"/>
      <c r="D28" s="4"/>
      <c r="E28" s="4">
        <f>IF(OR(C28="",D28=""),"",C28*D28)</f>
      </c>
      <c r="F28" s="6"/>
    </row>
    <row r="29">
      <c r="A29" s="9">
        <v>26</v>
      </c>
      <c r="B29" s="7"/>
      <c r="C29" s="9"/>
      <c r="D29" s="4"/>
      <c r="E29" s="4">
        <f>IF(OR(C29="",D29=""),"",C29*D29)</f>
      </c>
      <c r="F29" s="6"/>
    </row>
    <row r="30">
      <c r="A30" s="9">
        <v>27</v>
      </c>
      <c r="B30" s="7"/>
      <c r="C30" s="9"/>
      <c r="D30" s="4"/>
      <c r="E30" s="4">
        <f>IF(OR(C30="",D30=""),"",C30*D30)</f>
      </c>
      <c r="F30" s="6"/>
    </row>
    <row r="31">
      <c r="A31" s="9">
        <v>28</v>
      </c>
      <c r="B31" s="7"/>
      <c r="C31" s="9"/>
      <c r="D31" s="4"/>
      <c r="E31" s="4">
        <f>IF(OR(C31="",D31=""),"",C31*D31)</f>
      </c>
      <c r="F31" s="6"/>
    </row>
    <row r="32">
      <c r="A32" s="9">
        <v>29</v>
      </c>
      <c r="B32" s="7"/>
      <c r="C32" s="9"/>
      <c r="D32" s="4"/>
      <c r="E32" s="4">
        <f>IF(OR(C32="",D32=""),"",C32*D32)</f>
      </c>
      <c r="F32" s="6"/>
    </row>
    <row r="33">
      <c r="A33" s="9">
        <v>30</v>
      </c>
      <c r="B33" s="7"/>
      <c r="C33" s="9"/>
      <c r="D33" s="4"/>
      <c r="E33" s="4">
        <f>IF(OR(C33="",D33=""),"",C33*D33)</f>
      </c>
      <c r="F33" s="6"/>
    </row>
    <row r="34">
      <c r="A34" s="9">
        <v>31</v>
      </c>
      <c r="B34" s="7"/>
      <c r="C34" s="9"/>
      <c r="D34" s="4"/>
      <c r="E34" s="4">
        <f>IF(OR(C34="",D34=""),"",C34*D34)</f>
      </c>
      <c r="F34" s="6"/>
    </row>
    <row r="35">
      <c r="A35" s="9">
        <v>32</v>
      </c>
      <c r="B35" s="7"/>
      <c r="C35" s="9"/>
      <c r="D35" s="4"/>
      <c r="E35" s="4">
        <f>IF(OR(C35="",D35=""),"",C35*D35)</f>
      </c>
      <c r="F35" s="6"/>
    </row>
    <row r="36">
      <c r="A36" s="9">
        <v>33</v>
      </c>
      <c r="B36" s="7"/>
      <c r="C36" s="9"/>
      <c r="D36" s="4"/>
      <c r="E36" s="4">
        <f>IF(OR(C36="",D36=""),"",C36*D36)</f>
      </c>
      <c r="F36" s="6"/>
    </row>
    <row r="37">
      <c r="A37" s="9">
        <v>34</v>
      </c>
      <c r="B37" s="7"/>
      <c r="C37" s="9"/>
      <c r="D37" s="4"/>
      <c r="E37" s="4">
        <f>IF(OR(C37="",D37=""),"",C37*D37)</f>
      </c>
      <c r="F37" s="6"/>
    </row>
    <row r="38">
      <c r="A38" s="9">
        <v>35</v>
      </c>
      <c r="B38" s="7"/>
      <c r="C38" s="9"/>
      <c r="D38" s="4"/>
      <c r="E38" s="4">
        <f>IF(OR(C38="",D38=""),"",C38*D38)</f>
      </c>
      <c r="F38" s="6"/>
    </row>
    <row r="39">
      <c r="A39" s="9">
        <v>36</v>
      </c>
      <c r="B39" s="7"/>
      <c r="C39" s="9"/>
      <c r="D39" s="4"/>
      <c r="E39" s="4">
        <f>IF(OR(C39="",D39=""),"",C39*D39)</f>
      </c>
      <c r="F39" s="6"/>
    </row>
    <row r="40">
      <c r="A40" s="9">
        <v>37</v>
      </c>
      <c r="B40" s="7"/>
      <c r="C40" s="9"/>
      <c r="D40" s="4"/>
      <c r="E40" s="4">
        <f>IF(OR(C40="",D40=""),"",C40*D40)</f>
      </c>
      <c r="F40" s="6"/>
    </row>
    <row r="41">
      <c r="A41" s="9">
        <v>38</v>
      </c>
      <c r="B41" s="7"/>
      <c r="C41" s="9"/>
      <c r="D41" s="4"/>
      <c r="E41" s="4">
        <f>IF(OR(C41="",D41=""),"",C41*D41)</f>
      </c>
      <c r="F41" s="6"/>
    </row>
    <row r="42">
      <c r="A42" s="9">
        <v>39</v>
      </c>
      <c r="B42" s="7"/>
      <c r="C42" s="9"/>
      <c r="D42" s="4"/>
      <c r="E42" s="4">
        <f>IF(OR(C42="",D42=""),"",C42*D42)</f>
      </c>
      <c r="F42" s="6"/>
    </row>
    <row r="43">
      <c r="A43" s="9">
        <v>40</v>
      </c>
      <c r="B43" s="7"/>
      <c r="C43" s="9"/>
      <c r="D43" s="4"/>
      <c r="E43" s="4">
        <f>IF(OR(C43="",D43=""),"",C43*D43)</f>
      </c>
      <c r="F43" s="6"/>
    </row>
    <row r="44">
      <c r="A44" s="9">
        <v>41</v>
      </c>
      <c r="B44" s="7"/>
      <c r="C44" s="9"/>
      <c r="D44" s="4"/>
      <c r="E44" s="4">
        <f>IF(OR(C44="",D44=""),"",C44*D44)</f>
      </c>
      <c r="F44" s="6"/>
    </row>
    <row r="45">
      <c r="A45" s="9">
        <v>42</v>
      </c>
      <c r="B45" s="7"/>
      <c r="C45" s="9"/>
      <c r="D45" s="4"/>
      <c r="E45" s="4">
        <f>IF(OR(C45="",D45=""),"",C45*D45)</f>
      </c>
      <c r="F45" s="6"/>
    </row>
    <row r="46">
      <c r="A46" s="9">
        <v>43</v>
      </c>
      <c r="B46" s="7"/>
      <c r="C46" s="9"/>
      <c r="D46" s="4"/>
      <c r="E46" s="4">
        <f>IF(OR(C46="",D46=""),"",C46*D46)</f>
      </c>
      <c r="F46" s="6"/>
    </row>
    <row r="47">
      <c r="A47" s="9">
        <v>44</v>
      </c>
      <c r="B47" s="7"/>
      <c r="C47" s="9"/>
      <c r="D47" s="4"/>
      <c r="E47" s="4">
        <f>IF(OR(C47="",D47=""),"",C47*D47)</f>
      </c>
      <c r="F47" s="6"/>
    </row>
    <row r="48">
      <c r="A48" s="9">
        <v>45</v>
      </c>
      <c r="B48" s="7"/>
      <c r="C48" s="9"/>
      <c r="D48" s="4"/>
      <c r="E48" s="4">
        <f>IF(OR(C48="",D48=""),"",C48*D48)</f>
      </c>
      <c r="F48" s="6"/>
    </row>
    <row r="49">
      <c r="A49" s="9">
        <v>46</v>
      </c>
      <c r="B49" s="7"/>
      <c r="C49" s="9"/>
      <c r="D49" s="4"/>
      <c r="E49" s="4">
        <f>IF(OR(C49="",D49=""),"",C49*D49)</f>
      </c>
      <c r="F49" s="6"/>
    </row>
    <row r="50">
      <c r="A50" s="9">
        <v>47</v>
      </c>
      <c r="B50" s="7"/>
      <c r="C50" s="9"/>
      <c r="D50" s="4"/>
      <c r="E50" s="4">
        <f>IF(OR(C50="",D50=""),"",C50*D50)</f>
      </c>
      <c r="F50" s="6"/>
    </row>
    <row r="51">
      <c r="A51" s="9">
        <v>48</v>
      </c>
      <c r="B51" s="7"/>
      <c r="C51" s="9"/>
      <c r="D51" s="4"/>
      <c r="E51" s="4">
        <f>IF(OR(C51="",D51=""),"",C51*D51)</f>
      </c>
      <c r="F51" s="6"/>
    </row>
    <row r="52">
      <c r="A52" s="9">
        <v>49</v>
      </c>
      <c r="B52" s="7"/>
      <c r="C52" s="9"/>
      <c r="D52" s="4"/>
      <c r="E52" s="4">
        <f>IF(OR(C52="",D52=""),"",C52*D52)</f>
      </c>
      <c r="F52" s="6"/>
    </row>
    <row r="53">
      <c r="A53" s="9">
        <v>50</v>
      </c>
      <c r="B53" s="7"/>
      <c r="C53" s="9"/>
      <c r="D53" s="4"/>
      <c r="E53" s="4">
        <f>IF(OR(C53="",D53=""),"",C53*D53)</f>
      </c>
      <c r="F53" s="6"/>
    </row>
    <row r="54">
      <c r="A54" s="9">
        <v>51</v>
      </c>
      <c r="B54" s="7"/>
      <c r="C54" s="9"/>
      <c r="D54" s="4"/>
      <c r="E54" s="4">
        <f>IF(OR(C54="",D54=""),"",C54*D54)</f>
      </c>
      <c r="F54" s="6"/>
    </row>
    <row r="55">
      <c r="A55" s="9">
        <v>52</v>
      </c>
      <c r="B55" s="7"/>
      <c r="C55" s="9"/>
      <c r="D55" s="4"/>
      <c r="E55" s="4">
        <f>IF(OR(C55="",D55=""),"",C55*D55)</f>
      </c>
      <c r="F55" s="6"/>
    </row>
    <row r="56">
      <c r="A56" s="9">
        <v>53</v>
      </c>
      <c r="B56" s="7"/>
      <c r="C56" s="9"/>
      <c r="D56" s="4"/>
      <c r="E56" s="4">
        <f>IF(OR(C56="",D56=""),"",C56*D56)</f>
      </c>
      <c r="F56" s="6"/>
    </row>
    <row r="57">
      <c r="A57" s="9">
        <v>54</v>
      </c>
      <c r="B57" s="7"/>
      <c r="C57" s="9"/>
      <c r="D57" s="4"/>
      <c r="E57" s="4">
        <f>IF(OR(C57="",D57=""),"",C57*D57)</f>
      </c>
      <c r="F57" s="6"/>
    </row>
    <row r="58">
      <c r="A58" s="9">
        <v>55</v>
      </c>
      <c r="B58" s="7"/>
      <c r="C58" s="9"/>
      <c r="D58" s="4"/>
      <c r="E58" s="4">
        <f>IF(OR(C58="",D58=""),"",C58*D58)</f>
      </c>
      <c r="F58" s="6"/>
    </row>
    <row r="59">
      <c r="A59" s="9">
        <v>56</v>
      </c>
      <c r="B59" s="7"/>
      <c r="C59" s="9"/>
      <c r="D59" s="4"/>
      <c r="E59" s="4">
        <f>IF(OR(C59="",D59=""),"",C59*D59)</f>
      </c>
      <c r="F59" s="6"/>
    </row>
    <row r="60">
      <c r="A60" s="9">
        <v>57</v>
      </c>
      <c r="B60" s="7"/>
      <c r="C60" s="9"/>
      <c r="D60" s="4"/>
      <c r="E60" s="4">
        <f>IF(OR(C60="",D60=""),"",C60*D60)</f>
      </c>
      <c r="F60" s="6"/>
    </row>
    <row r="61">
      <c r="A61" s="9">
        <v>58</v>
      </c>
      <c r="B61" s="7"/>
      <c r="C61" s="9"/>
      <c r="D61" s="4"/>
      <c r="E61" s="4">
        <f>IF(OR(C61="",D61=""),"",C61*D61)</f>
      </c>
      <c r="F61" s="6"/>
    </row>
    <row r="62">
      <c r="A62" s="9">
        <v>59</v>
      </c>
      <c r="B62" s="7"/>
      <c r="C62" s="9"/>
      <c r="D62" s="4"/>
      <c r="E62" s="4">
        <f>IF(OR(C62="",D62=""),"",C62*D62)</f>
      </c>
      <c r="F62" s="6"/>
    </row>
    <row r="63">
      <c r="A63" s="9">
        <v>60</v>
      </c>
      <c r="B63" s="7"/>
      <c r="C63" s="9"/>
      <c r="D63" s="4"/>
      <c r="E63" s="4">
        <f>IF(OR(C63="",D63=""),"",C63*D63)</f>
      </c>
      <c r="F63" s="6"/>
    </row>
    <row r="64">
      <c r="A64" s="9">
        <v>61</v>
      </c>
      <c r="B64" s="7"/>
      <c r="C64" s="9"/>
      <c r="D64" s="4"/>
      <c r="E64" s="4">
        <f>IF(OR(C64="",D64=""),"",C64*D64)</f>
      </c>
      <c r="F64" s="6"/>
    </row>
    <row r="65">
      <c r="A65" s="9">
        <v>62</v>
      </c>
      <c r="B65" s="7"/>
      <c r="C65" s="9"/>
      <c r="D65" s="4"/>
      <c r="E65" s="4">
        <f>IF(OR(C65="",D65=""),"",C65*D65)</f>
      </c>
      <c r="F65" s="6"/>
    </row>
    <row r="66">
      <c r="A66" s="9">
        <v>63</v>
      </c>
      <c r="B66" s="7"/>
      <c r="C66" s="9"/>
      <c r="D66" s="4"/>
      <c r="E66" s="4">
        <f>IF(OR(C66="",D66=""),"",C66*D66)</f>
      </c>
      <c r="F66" s="6"/>
    </row>
    <row r="67">
      <c r="A67" s="9">
        <v>64</v>
      </c>
      <c r="B67" s="7"/>
      <c r="C67" s="9"/>
      <c r="D67" s="4"/>
      <c r="E67" s="4">
        <f>IF(OR(C67="",D67=""),"",C67*D67)</f>
      </c>
      <c r="F67" s="6"/>
    </row>
    <row r="68">
      <c r="A68" s="9">
        <v>65</v>
      </c>
      <c r="B68" s="7"/>
      <c r="C68" s="9"/>
      <c r="D68" s="4"/>
      <c r="E68" s="4">
        <f>IF(OR(C68="",D68=""),"",C68*D68)</f>
      </c>
      <c r="F68" s="6"/>
    </row>
    <row r="69">
      <c r="A69" s="9">
        <v>66</v>
      </c>
      <c r="B69" s="7"/>
      <c r="C69" s="9"/>
      <c r="D69" s="4"/>
      <c r="E69" s="4">
        <f>IF(OR(C69="",D69=""),"",C69*D69)</f>
      </c>
      <c r="F69" s="6"/>
    </row>
    <row r="70">
      <c r="A70" s="9">
        <v>67</v>
      </c>
      <c r="B70" s="7"/>
      <c r="C70" s="9"/>
      <c r="D70" s="4"/>
      <c r="E70" s="4">
        <f>IF(OR(C70="",D70=""),"",C70*D70)</f>
      </c>
      <c r="F70" s="6"/>
    </row>
    <row r="71">
      <c r="A71" s="9">
        <v>68</v>
      </c>
      <c r="B71" s="7"/>
      <c r="C71" s="9"/>
      <c r="D71" s="4"/>
      <c r="E71" s="4">
        <f>IF(OR(C71="",D71=""),"",C71*D71)</f>
      </c>
      <c r="F71" s="6"/>
    </row>
    <row r="72">
      <c r="A72" s="9">
        <v>69</v>
      </c>
      <c r="B72" s="7"/>
      <c r="C72" s="9"/>
      <c r="D72" s="4"/>
      <c r="E72" s="4">
        <f>IF(OR(C72="",D72=""),"",C72*D72)</f>
      </c>
      <c r="F72" s="6"/>
    </row>
    <row r="73">
      <c r="A73" s="9">
        <v>70</v>
      </c>
      <c r="B73" s="7"/>
      <c r="C73" s="9"/>
      <c r="D73" s="4"/>
      <c r="E73" s="4">
        <f>IF(OR(C73="",D73=""),"",C73*D73)</f>
      </c>
      <c r="F73" s="6"/>
    </row>
    <row r="74">
      <c r="A74" s="9">
        <v>71</v>
      </c>
      <c r="B74" s="7"/>
      <c r="C74" s="9"/>
      <c r="D74" s="4"/>
      <c r="E74" s="4">
        <f>IF(OR(C74="",D74=""),"",C74*D74)</f>
      </c>
      <c r="F74" s="6"/>
    </row>
    <row r="75">
      <c r="A75" s="9">
        <v>72</v>
      </c>
      <c r="B75" s="7"/>
      <c r="C75" s="9"/>
      <c r="D75" s="4"/>
      <c r="E75" s="4">
        <f>IF(OR(C75="",D75=""),"",C75*D75)</f>
      </c>
      <c r="F75" s="6"/>
    </row>
    <row r="76">
      <c r="A76" s="9">
        <v>73</v>
      </c>
      <c r="B76" s="7"/>
      <c r="C76" s="9"/>
      <c r="D76" s="4"/>
      <c r="E76" s="4">
        <f>IF(OR(C76="",D76=""),"",C76*D76)</f>
      </c>
      <c r="F76" s="6"/>
    </row>
    <row r="77">
      <c r="A77" s="9">
        <v>74</v>
      </c>
      <c r="B77" s="7"/>
      <c r="C77" s="9"/>
      <c r="D77" s="4"/>
      <c r="E77" s="4">
        <f>IF(OR(C77="",D77=""),"",C77*D77)</f>
      </c>
      <c r="F77" s="6"/>
    </row>
    <row r="78">
      <c r="A78" s="9">
        <v>75</v>
      </c>
      <c r="B78" s="7"/>
      <c r="C78" s="9"/>
      <c r="D78" s="4"/>
      <c r="E78" s="4">
        <f>IF(OR(C78="",D78=""),"",C78*D78)</f>
      </c>
      <c r="F78" s="6"/>
    </row>
    <row r="79">
      <c r="A79" s="9">
        <v>76</v>
      </c>
      <c r="B79" s="7"/>
      <c r="C79" s="9"/>
      <c r="D79" s="4"/>
      <c r="E79" s="4">
        <f>IF(OR(C79="",D79=""),"",C79*D79)</f>
      </c>
      <c r="F79" s="6"/>
    </row>
    <row r="80">
      <c r="A80" s="9">
        <v>77</v>
      </c>
      <c r="B80" s="7"/>
      <c r="C80" s="9"/>
      <c r="D80" s="4"/>
      <c r="E80" s="4">
        <f>IF(OR(C80="",D80=""),"",C80*D80)</f>
      </c>
      <c r="F80" s="6"/>
    </row>
    <row r="81">
      <c r="A81" s="9">
        <v>78</v>
      </c>
      <c r="B81" s="7"/>
      <c r="C81" s="9"/>
      <c r="D81" s="4"/>
      <c r="E81" s="4">
        <f>IF(OR(C81="",D81=""),"",C81*D81)</f>
      </c>
      <c r="F81" s="6"/>
    </row>
    <row r="82">
      <c r="A82" s="9">
        <v>79</v>
      </c>
      <c r="B82" s="7"/>
      <c r="C82" s="9"/>
      <c r="D82" s="4"/>
      <c r="E82" s="4">
        <f>IF(OR(C82="",D82=""),"",C82*D82)</f>
      </c>
      <c r="F82" s="6"/>
    </row>
    <row r="83">
      <c r="A83" s="9">
        <v>80</v>
      </c>
      <c r="B83" s="7"/>
      <c r="C83" s="9"/>
      <c r="D83" s="4"/>
      <c r="E83" s="4">
        <f>IF(OR(C83="",D83=""),"",C83*D83)</f>
      </c>
      <c r="F83" s="6"/>
    </row>
    <row r="84">
      <c r="A84" s="9">
        <v>81</v>
      </c>
      <c r="B84" s="7"/>
      <c r="C84" s="9"/>
      <c r="D84" s="4"/>
      <c r="E84" s="4">
        <f>IF(OR(C84="",D84=""),"",C84*D84)</f>
      </c>
      <c r="F84" s="6"/>
    </row>
    <row r="85">
      <c r="A85" s="9">
        <v>82</v>
      </c>
      <c r="B85" s="7"/>
      <c r="C85" s="9"/>
      <c r="D85" s="4"/>
      <c r="E85" s="4">
        <f>IF(OR(C85="",D85=""),"",C85*D85)</f>
      </c>
      <c r="F85" s="6"/>
    </row>
    <row r="86">
      <c r="A86" s="9">
        <v>83</v>
      </c>
      <c r="B86" s="7"/>
      <c r="C86" s="9"/>
      <c r="D86" s="4"/>
      <c r="E86" s="4">
        <f>IF(OR(C86="",D86=""),"",C86*D86)</f>
      </c>
      <c r="F86" s="6"/>
    </row>
    <row r="87">
      <c r="A87" s="9">
        <v>84</v>
      </c>
      <c r="B87" s="7"/>
      <c r="C87" s="9"/>
      <c r="D87" s="4"/>
      <c r="E87" s="4">
        <f>IF(OR(C87="",D87=""),"",C87*D87)</f>
      </c>
      <c r="F87" s="6"/>
    </row>
    <row r="88">
      <c r="A88" s="9">
        <v>85</v>
      </c>
      <c r="B88" s="7"/>
      <c r="C88" s="9"/>
      <c r="D88" s="4"/>
      <c r="E88" s="4">
        <f>IF(OR(C88="",D88=""),"",C88*D88)</f>
      </c>
      <c r="F88" s="6"/>
    </row>
    <row r="89">
      <c r="A89" s="9">
        <v>86</v>
      </c>
      <c r="B89" s="7"/>
      <c r="C89" s="9"/>
      <c r="D89" s="4"/>
      <c r="E89" s="4">
        <f>IF(OR(C89="",D89=""),"",C89*D89)</f>
      </c>
      <c r="F89" s="6"/>
    </row>
    <row r="90">
      <c r="A90" s="9">
        <v>87</v>
      </c>
      <c r="B90" s="7"/>
      <c r="C90" s="9"/>
      <c r="D90" s="4"/>
      <c r="E90" s="4">
        <f>IF(OR(C90="",D90=""),"",C90*D90)</f>
      </c>
      <c r="F90" s="6"/>
    </row>
    <row r="91">
      <c r="A91" s="9">
        <v>88</v>
      </c>
      <c r="B91" s="7"/>
      <c r="C91" s="9"/>
      <c r="D91" s="4"/>
      <c r="E91" s="4">
        <f>IF(OR(C91="",D91=""),"",C91*D91)</f>
      </c>
      <c r="F91" s="6"/>
    </row>
    <row r="92">
      <c r="A92" s="9">
        <v>89</v>
      </c>
      <c r="B92" s="7"/>
      <c r="C92" s="9"/>
      <c r="D92" s="4"/>
      <c r="E92" s="4">
        <f>IF(OR(C92="",D92=""),"",C92*D92)</f>
      </c>
      <c r="F92" s="6"/>
    </row>
    <row r="93">
      <c r="A93" s="9">
        <v>90</v>
      </c>
      <c r="B93" s="7"/>
      <c r="C93" s="9"/>
      <c r="D93" s="4"/>
      <c r="E93" s="4">
        <f>IF(OR(C93="",D93=""),"",C93*D93)</f>
      </c>
      <c r="F93" s="6"/>
    </row>
    <row r="94">
      <c r="A94" s="9">
        <v>91</v>
      </c>
      <c r="B94" s="7"/>
      <c r="C94" s="9"/>
      <c r="D94" s="4"/>
      <c r="E94" s="4">
        <f>IF(OR(C94="",D94=""),"",C94*D94)</f>
      </c>
      <c r="F94" s="6"/>
    </row>
    <row r="95">
      <c r="A95" s="9">
        <v>92</v>
      </c>
      <c r="B95" s="7"/>
      <c r="C95" s="9"/>
      <c r="D95" s="4"/>
      <c r="E95" s="4">
        <f>IF(OR(C95="",D95=""),"",C95*D95)</f>
      </c>
      <c r="F95" s="6"/>
    </row>
    <row r="96">
      <c r="A96" s="9">
        <v>93</v>
      </c>
      <c r="B96" s="7"/>
      <c r="C96" s="9"/>
      <c r="D96" s="4"/>
      <c r="E96" s="4">
        <f>IF(OR(C96="",D96=""),"",C96*D96)</f>
      </c>
      <c r="F96" s="6"/>
    </row>
    <row r="97">
      <c r="A97" s="9">
        <v>94</v>
      </c>
      <c r="B97" s="7"/>
      <c r="C97" s="9"/>
      <c r="D97" s="4"/>
      <c r="E97" s="4">
        <f>IF(OR(C97="",D97=""),"",C97*D97)</f>
      </c>
      <c r="F97" s="6"/>
    </row>
    <row r="98">
      <c r="A98" s="9">
        <v>95</v>
      </c>
      <c r="B98" s="7"/>
      <c r="C98" s="9"/>
      <c r="D98" s="4"/>
      <c r="E98" s="4">
        <f>IF(OR(C98="",D98=""),"",C98*D98)</f>
      </c>
      <c r="F98" s="6"/>
    </row>
    <row r="99">
      <c r="A99" s="9">
        <v>96</v>
      </c>
      <c r="B99" s="7"/>
      <c r="C99" s="9"/>
      <c r="D99" s="4"/>
      <c r="E99" s="4">
        <f>IF(OR(C99="",D99=""),"",C99*D99)</f>
      </c>
      <c r="F99" s="6"/>
    </row>
    <row r="100">
      <c r="A100" s="9">
        <v>97</v>
      </c>
      <c r="B100" s="7"/>
      <c r="C100" s="9"/>
      <c r="D100" s="4"/>
      <c r="E100" s="4">
        <f>IF(OR(C100="",D100=""),"",C100*D100)</f>
      </c>
      <c r="F100" s="6"/>
    </row>
    <row r="101">
      <c r="A101" s="9">
        <v>98</v>
      </c>
      <c r="B101" s="7"/>
      <c r="C101" s="9"/>
      <c r="D101" s="4"/>
      <c r="E101" s="4">
        <f>IF(OR(C101="",D101=""),"",C101*D101)</f>
      </c>
      <c r="F101" s="6"/>
    </row>
    <row r="102">
      <c r="A102" s="9">
        <v>99</v>
      </c>
      <c r="B102" s="7"/>
      <c r="C102" s="9"/>
      <c r="D102" s="4"/>
      <c r="E102" s="4">
        <f>IF(OR(C102="",D102=""),"",C102*D102)</f>
      </c>
      <c r="F102" s="6"/>
    </row>
    <row r="103">
      <c r="A103" s="9">
        <v>100</v>
      </c>
      <c r="B103" s="7"/>
      <c r="C103" s="9"/>
      <c r="D103" s="4"/>
      <c r="E103" s="4">
        <f>IF(OR(C103="",D103=""),"",C103*D103)</f>
      </c>
      <c r="F103" s="6"/>
    </row>
    <row r="104">
      <c r="A104" s="9">
        <v>101</v>
      </c>
      <c r="B104" s="7"/>
      <c r="C104" s="9"/>
      <c r="D104" s="4"/>
      <c r="E104" s="4">
        <f>IF(OR(C104="",D104=""),"",C104*D104)</f>
      </c>
      <c r="F104" s="6"/>
    </row>
    <row r="105">
      <c r="A105" s="9">
        <v>102</v>
      </c>
      <c r="B105" s="7"/>
      <c r="C105" s="9"/>
      <c r="D105" s="4"/>
      <c r="E105" s="4">
        <f>IF(OR(C105="",D105=""),"",C105*D105)</f>
      </c>
      <c r="F105" s="6"/>
    </row>
    <row r="106">
      <c r="A106" s="9">
        <v>103</v>
      </c>
      <c r="B106" s="7"/>
      <c r="C106" s="9"/>
      <c r="D106" s="4"/>
      <c r="E106" s="4">
        <f>IF(OR(C106="",D106=""),"",C106*D106)</f>
      </c>
      <c r="F106" s="6"/>
    </row>
    <row r="107">
      <c r="A107" s="9">
        <v>104</v>
      </c>
      <c r="B107" s="7"/>
      <c r="C107" s="9"/>
      <c r="D107" s="4"/>
      <c r="E107" s="4">
        <f>IF(OR(C107="",D107=""),"",C107*D107)</f>
      </c>
      <c r="F107" s="6"/>
    </row>
    <row r="108">
      <c r="A108" s="9">
        <v>105</v>
      </c>
      <c r="B108" s="7"/>
      <c r="C108" s="9"/>
      <c r="D108" s="4"/>
      <c r="E108" s="4">
        <f>IF(OR(C108="",D108=""),"",C108*D108)</f>
      </c>
      <c r="F108" s="6"/>
    </row>
    <row r="109">
      <c r="A109" s="9">
        <v>106</v>
      </c>
      <c r="B109" s="7"/>
      <c r="C109" s="9"/>
      <c r="D109" s="4"/>
      <c r="E109" s="4">
        <f>IF(OR(C109="",D109=""),"",C109*D109)</f>
      </c>
      <c r="F109" s="6"/>
    </row>
    <row r="110">
      <c r="A110" s="9">
        <v>107</v>
      </c>
      <c r="B110" s="7"/>
      <c r="C110" s="9"/>
      <c r="D110" s="4"/>
      <c r="E110" s="4">
        <f>IF(OR(C110="",D110=""),"",C110*D110)</f>
      </c>
      <c r="F110" s="6"/>
    </row>
    <row r="111">
      <c r="A111" s="9">
        <v>108</v>
      </c>
      <c r="B111" s="7"/>
      <c r="C111" s="9"/>
      <c r="D111" s="4"/>
      <c r="E111" s="4">
        <f>IF(OR(C111="",D111=""),"",C111*D111)</f>
      </c>
      <c r="F111" s="6"/>
    </row>
    <row r="112">
      <c r="A112" s="9">
        <v>109</v>
      </c>
      <c r="B112" s="7"/>
      <c r="C112" s="9"/>
      <c r="D112" s="4"/>
      <c r="E112" s="4">
        <f>IF(OR(C112="",D112=""),"",C112*D112)</f>
      </c>
      <c r="F112" s="6"/>
    </row>
    <row r="113">
      <c r="A113" s="9">
        <v>110</v>
      </c>
      <c r="B113" s="7"/>
      <c r="C113" s="9"/>
      <c r="D113" s="4"/>
      <c r="E113" s="4">
        <f>IF(OR(C113="",D113=""),"",C113*D113)</f>
      </c>
      <c r="F113" s="6"/>
    </row>
    <row r="114">
      <c r="A114" s="9">
        <v>111</v>
      </c>
      <c r="B114" s="7"/>
      <c r="C114" s="9"/>
      <c r="D114" s="4"/>
      <c r="E114" s="4">
        <f>IF(OR(C114="",D114=""),"",C114*D114)</f>
      </c>
      <c r="F114" s="6"/>
    </row>
    <row r="115">
      <c r="A115" s="9">
        <v>112</v>
      </c>
      <c r="B115" s="7"/>
      <c r="C115" s="9"/>
      <c r="D115" s="4"/>
      <c r="E115" s="4">
        <f>IF(OR(C115="",D115=""),"",C115*D115)</f>
      </c>
      <c r="F115" s="6"/>
    </row>
    <row r="116">
      <c r="A116" s="9">
        <v>113</v>
      </c>
      <c r="B116" s="7"/>
      <c r="C116" s="9"/>
      <c r="D116" s="4"/>
      <c r="E116" s="4">
        <f>IF(OR(C116="",D116=""),"",C116*D116)</f>
      </c>
      <c r="F116" s="6"/>
    </row>
    <row r="117">
      <c r="A117" s="9">
        <v>114</v>
      </c>
      <c r="B117" s="7"/>
      <c r="C117" s="9"/>
      <c r="D117" s="4"/>
      <c r="E117" s="4">
        <f>IF(OR(C117="",D117=""),"",C117*D117)</f>
      </c>
      <c r="F117" s="6"/>
    </row>
    <row r="118">
      <c r="A118" s="9">
        <v>115</v>
      </c>
      <c r="B118" s="7"/>
      <c r="C118" s="9"/>
      <c r="D118" s="4"/>
      <c r="E118" s="4">
        <f>IF(OR(C118="",D118=""),"",C118*D118)</f>
      </c>
      <c r="F118" s="6"/>
    </row>
    <row r="119">
      <c r="A119" s="9">
        <v>116</v>
      </c>
      <c r="B119" s="7"/>
      <c r="C119" s="9"/>
      <c r="D119" s="4"/>
      <c r="E119" s="4">
        <f>IF(OR(C119="",D119=""),"",C119*D119)</f>
      </c>
      <c r="F119" s="6"/>
    </row>
    <row r="120">
      <c r="A120" s="9">
        <v>117</v>
      </c>
      <c r="B120" s="7"/>
      <c r="C120" s="9"/>
      <c r="D120" s="4"/>
      <c r="E120" s="4">
        <f>IF(OR(C120="",D120=""),"",C120*D120)</f>
      </c>
      <c r="F120" s="6"/>
    </row>
    <row r="121">
      <c r="A121" s="9">
        <v>118</v>
      </c>
      <c r="B121" s="7"/>
      <c r="C121" s="9"/>
      <c r="D121" s="4"/>
      <c r="E121" s="4">
        <f>IF(OR(C121="",D121=""),"",C121*D121)</f>
      </c>
      <c r="F121" s="6"/>
    </row>
    <row r="122">
      <c r="A122" s="9">
        <v>119</v>
      </c>
      <c r="B122" s="7"/>
      <c r="C122" s="9"/>
      <c r="D122" s="4"/>
      <c r="E122" s="4">
        <f>IF(OR(C122="",D122=""),"",C122*D122)</f>
      </c>
      <c r="F122" s="6"/>
    </row>
    <row r="123">
      <c r="A123" s="9">
        <v>120</v>
      </c>
      <c r="B123" s="7"/>
      <c r="C123" s="9"/>
      <c r="D123" s="4"/>
      <c r="E123" s="4">
        <f>IF(OR(C123="",D123=""),"",C123*D123)</f>
      </c>
      <c r="F123" s="6"/>
    </row>
    <row r="124">
      <c r="A124" s="9">
        <v>121</v>
      </c>
      <c r="B124" s="7"/>
      <c r="C124" s="9"/>
      <c r="D124" s="4"/>
      <c r="E124" s="4">
        <f>IF(OR(C124="",D124=""),"",C124*D124)</f>
      </c>
      <c r="F124" s="6"/>
    </row>
    <row r="125">
      <c r="A125" s="9">
        <v>122</v>
      </c>
      <c r="B125" s="7"/>
      <c r="C125" s="9"/>
      <c r="D125" s="4"/>
      <c r="E125" s="4">
        <f>IF(OR(C125="",D125=""),"",C125*D125)</f>
      </c>
      <c r="F125" s="6"/>
    </row>
    <row r="126">
      <c r="A126" s="9">
        <v>123</v>
      </c>
      <c r="B126" s="7"/>
      <c r="C126" s="9"/>
      <c r="D126" s="4"/>
      <c r="E126" s="4">
        <f>IF(OR(C126="",D126=""),"",C126*D126)</f>
      </c>
      <c r="F126" s="6"/>
    </row>
    <row r="127">
      <c r="A127" s="9">
        <v>124</v>
      </c>
      <c r="B127" s="7"/>
      <c r="C127" s="9"/>
      <c r="D127" s="4"/>
      <c r="E127" s="4">
        <f>IF(OR(C127="",D127=""),"",C127*D127)</f>
      </c>
      <c r="F127" s="6"/>
    </row>
    <row r="128">
      <c r="A128" s="9">
        <v>125</v>
      </c>
      <c r="B128" s="7"/>
      <c r="C128" s="9"/>
      <c r="D128" s="4"/>
      <c r="E128" s="4">
        <f>IF(OR(C128="",D128=""),"",C128*D128)</f>
      </c>
      <c r="F128" s="6"/>
    </row>
    <row r="129">
      <c r="A129" s="9">
        <v>126</v>
      </c>
      <c r="B129" s="7"/>
      <c r="C129" s="9"/>
      <c r="D129" s="4"/>
      <c r="E129" s="4">
        <f>IF(OR(C129="",D129=""),"",C129*D129)</f>
      </c>
      <c r="F129" s="6"/>
    </row>
    <row r="130">
      <c r="A130" s="9">
        <v>127</v>
      </c>
      <c r="B130" s="7"/>
      <c r="C130" s="9"/>
      <c r="D130" s="4"/>
      <c r="E130" s="4">
        <f>IF(OR(C130="",D130=""),"",C130*D130)</f>
      </c>
      <c r="F130" s="6"/>
    </row>
    <row r="131">
      <c r="A131" s="9">
        <v>128</v>
      </c>
      <c r="B131" s="7"/>
      <c r="C131" s="9"/>
      <c r="D131" s="4"/>
      <c r="E131" s="4">
        <f>IF(OR(C131="",D131=""),"",C131*D131)</f>
      </c>
      <c r="F131" s="6"/>
    </row>
    <row r="132">
      <c r="A132" s="9">
        <v>129</v>
      </c>
      <c r="B132" s="7"/>
      <c r="C132" s="9"/>
      <c r="D132" s="4"/>
      <c r="E132" s="4">
        <f>IF(OR(C132="",D132=""),"",C132*D132)</f>
      </c>
      <c r="F132" s="6"/>
    </row>
    <row r="133">
      <c r="A133" s="9">
        <v>130</v>
      </c>
      <c r="B133" s="7"/>
      <c r="C133" s="9"/>
      <c r="D133" s="4"/>
      <c r="E133" s="4">
        <f>IF(OR(C133="",D133=""),"",C133*D133)</f>
      </c>
      <c r="F133" s="6"/>
    </row>
    <row r="134">
      <c r="A134" s="9">
        <v>131</v>
      </c>
      <c r="B134" s="7"/>
      <c r="C134" s="9"/>
      <c r="D134" s="4"/>
      <c r="E134" s="4">
        <f>IF(OR(C134="",D134=""),"",C134*D134)</f>
      </c>
      <c r="F134" s="6"/>
    </row>
    <row r="135">
      <c r="A135" s="9">
        <v>132</v>
      </c>
      <c r="B135" s="7"/>
      <c r="C135" s="9"/>
      <c r="D135" s="4"/>
      <c r="E135" s="4">
        <f>IF(OR(C135="",D135=""),"",C135*D135)</f>
      </c>
      <c r="F135" s="6"/>
    </row>
    <row r="136">
      <c r="A136" s="9">
        <v>133</v>
      </c>
      <c r="B136" s="7"/>
      <c r="C136" s="9"/>
      <c r="D136" s="4"/>
      <c r="E136" s="4">
        <f>IF(OR(C136="",D136=""),"",C136*D136)</f>
      </c>
      <c r="F136" s="6"/>
    </row>
    <row r="137">
      <c r="A137" s="9">
        <v>134</v>
      </c>
      <c r="B137" s="7"/>
      <c r="C137" s="9"/>
      <c r="D137" s="4"/>
      <c r="E137" s="4">
        <f>IF(OR(C137="",D137=""),"",C137*D137)</f>
      </c>
      <c r="F137" s="6"/>
    </row>
    <row r="138">
      <c r="A138" s="9">
        <v>135</v>
      </c>
      <c r="B138" s="7"/>
      <c r="C138" s="9"/>
      <c r="D138" s="4"/>
      <c r="E138" s="4">
        <f>IF(OR(C138="",D138=""),"",C138*D138)</f>
      </c>
      <c r="F138" s="6"/>
    </row>
    <row r="139">
      <c r="A139" s="9">
        <v>136</v>
      </c>
      <c r="B139" s="7"/>
      <c r="C139" s="9"/>
      <c r="D139" s="4"/>
      <c r="E139" s="4">
        <f>IF(OR(C139="",D139=""),"",C139*D139)</f>
      </c>
      <c r="F139" s="6"/>
    </row>
    <row r="140">
      <c r="A140" s="9">
        <v>137</v>
      </c>
      <c r="B140" s="7"/>
      <c r="C140" s="9"/>
      <c r="D140" s="4"/>
      <c r="E140" s="4">
        <f>IF(OR(C140="",D140=""),"",C140*D140)</f>
      </c>
      <c r="F140" s="6"/>
    </row>
    <row r="141">
      <c r="A141" s="9">
        <v>138</v>
      </c>
      <c r="B141" s="7"/>
      <c r="C141" s="9"/>
      <c r="D141" s="4"/>
      <c r="E141" s="4">
        <f>IF(OR(C141="",D141=""),"",C141*D141)</f>
      </c>
      <c r="F141" s="6"/>
    </row>
    <row r="142">
      <c r="A142" s="9">
        <v>139</v>
      </c>
      <c r="B142" s="7"/>
      <c r="C142" s="9"/>
      <c r="D142" s="4"/>
      <c r="E142" s="4">
        <f>IF(OR(C142="",D142=""),"",C142*D142)</f>
      </c>
      <c r="F142" s="6"/>
    </row>
    <row r="143">
      <c r="A143" s="9">
        <v>140</v>
      </c>
      <c r="B143" s="7"/>
      <c r="C143" s="9"/>
      <c r="D143" s="4"/>
      <c r="E143" s="4">
        <f>IF(OR(C143="",D143=""),"",C143*D143)</f>
      </c>
      <c r="F143" s="6"/>
    </row>
    <row r="144">
      <c r="A144" s="9">
        <v>141</v>
      </c>
      <c r="B144" s="7"/>
      <c r="C144" s="9"/>
      <c r="D144" s="4"/>
      <c r="E144" s="4">
        <f>IF(OR(C144="",D144=""),"",C144*D144)</f>
      </c>
      <c r="F144" s="6"/>
    </row>
    <row r="145">
      <c r="A145" s="9">
        <v>142</v>
      </c>
      <c r="B145" s="7"/>
      <c r="C145" s="9"/>
      <c r="D145" s="4"/>
      <c r="E145" s="4">
        <f>IF(OR(C145="",D145=""),"",C145*D145)</f>
      </c>
      <c r="F145" s="6"/>
    </row>
    <row r="146">
      <c r="A146" s="9">
        <v>143</v>
      </c>
      <c r="B146" s="7"/>
      <c r="C146" s="9"/>
      <c r="D146" s="4"/>
      <c r="E146" s="4">
        <f>IF(OR(C146="",D146=""),"",C146*D146)</f>
      </c>
      <c r="F146" s="6"/>
    </row>
    <row r="147">
      <c r="A147" s="9">
        <v>144</v>
      </c>
      <c r="B147" s="7"/>
      <c r="C147" s="9"/>
      <c r="D147" s="4"/>
      <c r="E147" s="4">
        <f>IF(OR(C147="",D147=""),"",C147*D147)</f>
      </c>
      <c r="F147" s="6"/>
    </row>
    <row r="148">
      <c r="A148" s="9">
        <v>145</v>
      </c>
      <c r="B148" s="7"/>
      <c r="C148" s="9"/>
      <c r="D148" s="4"/>
      <c r="E148" s="4">
        <f>IF(OR(C148="",D148=""),"",C148*D148)</f>
      </c>
      <c r="F148" s="6"/>
    </row>
    <row r="149">
      <c r="A149" s="9">
        <v>146</v>
      </c>
      <c r="B149" s="7"/>
      <c r="C149" s="9"/>
      <c r="D149" s="4"/>
      <c r="E149" s="4">
        <f>IF(OR(C149="",D149=""),"",C149*D149)</f>
      </c>
      <c r="F149" s="6"/>
    </row>
    <row r="150">
      <c r="A150" s="9">
        <v>147</v>
      </c>
      <c r="B150" s="7"/>
      <c r="C150" s="9"/>
      <c r="D150" s="4"/>
      <c r="E150" s="4">
        <f>IF(OR(C150="",D150=""),"",C150*D150)</f>
      </c>
      <c r="F150" s="6"/>
    </row>
    <row r="151">
      <c r="A151" s="9">
        <v>148</v>
      </c>
      <c r="B151" s="7"/>
      <c r="C151" s="9"/>
      <c r="D151" s="4"/>
      <c r="E151" s="4">
        <f>IF(OR(C151="",D151=""),"",C151*D151)</f>
      </c>
      <c r="F151" s="6"/>
    </row>
    <row r="152">
      <c r="A152" s="9">
        <v>149</v>
      </c>
      <c r="B152" s="7"/>
      <c r="C152" s="9"/>
      <c r="D152" s="4"/>
      <c r="E152" s="4">
        <f>IF(OR(C152="",D152=""),"",C152*D152)</f>
      </c>
      <c r="F152" s="6"/>
    </row>
    <row r="153">
      <c r="A153" s="9">
        <v>150</v>
      </c>
      <c r="B153" s="7"/>
      <c r="C153" s="9"/>
      <c r="D153" s="4"/>
      <c r="E153" s="4">
        <f>IF(OR(C153="",D153=""),"",C153*D153)</f>
      </c>
      <c r="F153" s="6"/>
    </row>
    <row r="154">
      <c r="A154" s="9">
        <v>151</v>
      </c>
      <c r="B154" s="7"/>
      <c r="C154" s="9"/>
      <c r="D154" s="4"/>
      <c r="E154" s="4">
        <f>IF(OR(C154="",D154=""),"",C154*D154)</f>
      </c>
      <c r="F154" s="6"/>
    </row>
    <row r="155">
      <c r="A155" s="9">
        <v>152</v>
      </c>
      <c r="B155" s="7"/>
      <c r="C155" s="9"/>
      <c r="D155" s="4"/>
      <c r="E155" s="4">
        <f>IF(OR(C155="",D155=""),"",C155*D155)</f>
      </c>
      <c r="F155" s="6"/>
    </row>
    <row r="156">
      <c r="A156" s="9">
        <v>153</v>
      </c>
      <c r="B156" s="7"/>
      <c r="C156" s="9"/>
      <c r="D156" s="4"/>
      <c r="E156" s="4">
        <f>IF(OR(C156="",D156=""),"",C156*D156)</f>
      </c>
      <c r="F156" s="6"/>
    </row>
    <row r="157">
      <c r="A157" s="9">
        <v>154</v>
      </c>
      <c r="B157" s="7"/>
      <c r="C157" s="9"/>
      <c r="D157" s="4"/>
      <c r="E157" s="4">
        <f>IF(OR(C157="",D157=""),"",C157*D157)</f>
      </c>
      <c r="F157" s="6"/>
    </row>
    <row r="158">
      <c r="A158" s="9">
        <v>155</v>
      </c>
      <c r="B158" s="7"/>
      <c r="C158" s="9"/>
      <c r="D158" s="4"/>
      <c r="E158" s="4">
        <f>IF(OR(C158="",D158=""),"",C158*D158)</f>
      </c>
      <c r="F158" s="6"/>
    </row>
    <row r="159">
      <c r="A159" s="9">
        <v>156</v>
      </c>
      <c r="B159" s="7"/>
      <c r="C159" s="9"/>
      <c r="D159" s="4"/>
      <c r="E159" s="4">
        <f>IF(OR(C159="",D159=""),"",C159*D159)</f>
      </c>
      <c r="F159" s="6"/>
    </row>
    <row r="160">
      <c r="A160" s="9">
        <v>157</v>
      </c>
      <c r="B160" s="7"/>
      <c r="C160" s="9"/>
      <c r="D160" s="4"/>
      <c r="E160" s="4">
        <f>IF(OR(C160="",D160=""),"",C160*D160)</f>
      </c>
      <c r="F160" s="6"/>
    </row>
    <row r="161">
      <c r="A161" s="9">
        <v>158</v>
      </c>
      <c r="B161" s="7"/>
      <c r="C161" s="9"/>
      <c r="D161" s="4"/>
      <c r="E161" s="4">
        <f>IF(OR(C161="",D161=""),"",C161*D161)</f>
      </c>
      <c r="F161" s="6"/>
    </row>
    <row r="162">
      <c r="A162" s="9">
        <v>159</v>
      </c>
      <c r="B162" s="7"/>
      <c r="C162" s="9"/>
      <c r="D162" s="4"/>
      <c r="E162" s="4">
        <f>IF(OR(C162="",D162=""),"",C162*D162)</f>
      </c>
      <c r="F162" s="6"/>
    </row>
    <row r="163">
      <c r="A163" s="9">
        <v>160</v>
      </c>
      <c r="B163" s="7"/>
      <c r="C163" s="9"/>
      <c r="D163" s="4"/>
      <c r="E163" s="4">
        <f>IF(OR(C163="",D163=""),"",C163*D163)</f>
      </c>
      <c r="F163" s="6"/>
    </row>
    <row r="164">
      <c r="A164" s="9">
        <v>161</v>
      </c>
      <c r="B164" s="7"/>
      <c r="C164" s="9"/>
      <c r="D164" s="4"/>
      <c r="E164" s="4">
        <f>IF(OR(C164="",D164=""),"",C164*D164)</f>
      </c>
      <c r="F164" s="6"/>
    </row>
    <row r="165">
      <c r="A165" s="9">
        <v>162</v>
      </c>
      <c r="B165" s="7"/>
      <c r="C165" s="9"/>
      <c r="D165" s="4"/>
      <c r="E165" s="4">
        <f>IF(OR(C165="",D165=""),"",C165*D165)</f>
      </c>
      <c r="F165" s="6"/>
    </row>
    <row r="166">
      <c r="A166" s="9">
        <v>163</v>
      </c>
      <c r="B166" s="7"/>
      <c r="C166" s="9"/>
      <c r="D166" s="4"/>
      <c r="E166" s="4">
        <f>IF(OR(C166="",D166=""),"",C166*D166)</f>
      </c>
      <c r="F166" s="6"/>
    </row>
    <row r="167">
      <c r="A167" s="9">
        <v>164</v>
      </c>
      <c r="B167" s="7"/>
      <c r="C167" s="9"/>
      <c r="D167" s="4"/>
      <c r="E167" s="4">
        <f>IF(OR(C167="",D167=""),"",C167*D167)</f>
      </c>
      <c r="F167" s="6"/>
    </row>
    <row r="168">
      <c r="A168" s="9">
        <v>165</v>
      </c>
      <c r="B168" s="7"/>
      <c r="C168" s="9"/>
      <c r="D168" s="4"/>
      <c r="E168" s="4">
        <f>IF(OR(C168="",D168=""),"",C168*D168)</f>
      </c>
      <c r="F168" s="6"/>
    </row>
    <row r="169">
      <c r="A169" s="9">
        <v>166</v>
      </c>
      <c r="B169" s="7"/>
      <c r="C169" s="9"/>
      <c r="D169" s="4"/>
      <c r="E169" s="4">
        <f>IF(OR(C169="",D169=""),"",C169*D169)</f>
      </c>
      <c r="F169" s="6"/>
    </row>
    <row r="170">
      <c r="A170" s="9">
        <v>167</v>
      </c>
      <c r="B170" s="7"/>
      <c r="C170" s="9"/>
      <c r="D170" s="4"/>
      <c r="E170" s="4">
        <f>IF(OR(C170="",D170=""),"",C170*D170)</f>
      </c>
      <c r="F170" s="6"/>
    </row>
    <row r="171">
      <c r="A171" s="9">
        <v>168</v>
      </c>
      <c r="B171" s="7"/>
      <c r="C171" s="9"/>
      <c r="D171" s="4"/>
      <c r="E171" s="4">
        <f>IF(OR(C171="",D171=""),"",C171*D171)</f>
      </c>
      <c r="F171" s="6"/>
    </row>
    <row r="172">
      <c r="A172" s="9">
        <v>169</v>
      </c>
      <c r="B172" s="7"/>
      <c r="C172" s="9"/>
      <c r="D172" s="4"/>
      <c r="E172" s="4">
        <f>IF(OR(C172="",D172=""),"",C172*D172)</f>
      </c>
      <c r="F172" s="6"/>
    </row>
    <row r="173">
      <c r="A173" s="9">
        <v>170</v>
      </c>
      <c r="B173" s="7"/>
      <c r="C173" s="9"/>
      <c r="D173" s="4"/>
      <c r="E173" s="4">
        <f>IF(OR(C173="",D173=""),"",C173*D173)</f>
      </c>
      <c r="F173" s="6"/>
    </row>
    <row r="174">
      <c r="A174" s="9">
        <v>171</v>
      </c>
      <c r="B174" s="7"/>
      <c r="C174" s="9"/>
      <c r="D174" s="4"/>
      <c r="E174" s="4">
        <f>IF(OR(C174="",D174=""),"",C174*D174)</f>
      </c>
      <c r="F174" s="6"/>
    </row>
    <row r="175">
      <c r="A175" s="9">
        <v>172</v>
      </c>
      <c r="B175" s="7"/>
      <c r="C175" s="9"/>
      <c r="D175" s="4"/>
      <c r="E175" s="4">
        <f>IF(OR(C175="",D175=""),"",C175*D175)</f>
      </c>
      <c r="F175" s="6"/>
    </row>
    <row r="176">
      <c r="A176" s="9">
        <v>173</v>
      </c>
      <c r="B176" s="7"/>
      <c r="C176" s="9"/>
      <c r="D176" s="4"/>
      <c r="E176" s="4">
        <f>IF(OR(C176="",D176=""),"",C176*D176)</f>
      </c>
      <c r="F176" s="6"/>
    </row>
    <row r="177">
      <c r="A177" s="9">
        <v>174</v>
      </c>
      <c r="B177" s="7"/>
      <c r="C177" s="9"/>
      <c r="D177" s="4"/>
      <c r="E177" s="4">
        <f>IF(OR(C177="",D177=""),"",C177*D177)</f>
      </c>
      <c r="F177" s="6"/>
    </row>
    <row r="178">
      <c r="A178" s="9">
        <v>175</v>
      </c>
      <c r="B178" s="7"/>
      <c r="C178" s="9"/>
      <c r="D178" s="4"/>
      <c r="E178" s="4">
        <f>IF(OR(C178="",D178=""),"",C178*D178)</f>
      </c>
      <c r="F178" s="6"/>
    </row>
    <row r="179">
      <c r="A179" s="9">
        <v>176</v>
      </c>
      <c r="B179" s="7"/>
      <c r="C179" s="9"/>
      <c r="D179" s="4"/>
      <c r="E179" s="4">
        <f>IF(OR(C179="",D179=""),"",C179*D179)</f>
      </c>
      <c r="F179" s="6"/>
    </row>
    <row r="180">
      <c r="A180" s="9">
        <v>177</v>
      </c>
      <c r="B180" s="7"/>
      <c r="C180" s="9"/>
      <c r="D180" s="4"/>
      <c r="E180" s="4">
        <f>IF(OR(C180="",D180=""),"",C180*D180)</f>
      </c>
      <c r="F180" s="6"/>
    </row>
    <row r="181">
      <c r="A181" s="9">
        <v>178</v>
      </c>
      <c r="B181" s="7"/>
      <c r="C181" s="9"/>
      <c r="D181" s="4"/>
      <c r="E181" s="4">
        <f>IF(OR(C181="",D181=""),"",C181*D181)</f>
      </c>
      <c r="F181" s="6"/>
    </row>
    <row r="182">
      <c r="A182" s="9">
        <v>179</v>
      </c>
      <c r="B182" s="7"/>
      <c r="C182" s="9"/>
      <c r="D182" s="4"/>
      <c r="E182" s="4">
        <f>IF(OR(C182="",D182=""),"",C182*D182)</f>
      </c>
      <c r="F182" s="6"/>
    </row>
    <row r="183">
      <c r="A183" s="9">
        <v>180</v>
      </c>
      <c r="B183" s="7"/>
      <c r="C183" s="9"/>
      <c r="D183" s="4"/>
      <c r="E183" s="4">
        <f>IF(OR(C183="",D183=""),"",C183*D183)</f>
      </c>
      <c r="F183" s="6"/>
    </row>
    <row r="184">
      <c r="A184" s="9">
        <v>181</v>
      </c>
      <c r="B184" s="7"/>
      <c r="C184" s="9"/>
      <c r="D184" s="4"/>
      <c r="E184" s="4">
        <f>IF(OR(C184="",D184=""),"",C184*D184)</f>
      </c>
      <c r="F184" s="6"/>
    </row>
    <row r="185">
      <c r="A185" s="9">
        <v>182</v>
      </c>
      <c r="B185" s="7"/>
      <c r="C185" s="9"/>
      <c r="D185" s="4"/>
      <c r="E185" s="4">
        <f>IF(OR(C185="",D185=""),"",C185*D185)</f>
      </c>
      <c r="F185" s="6"/>
    </row>
    <row r="186">
      <c r="A186" s="9">
        <v>183</v>
      </c>
      <c r="B186" s="7"/>
      <c r="C186" s="9"/>
      <c r="D186" s="4"/>
      <c r="E186" s="4">
        <f>IF(OR(C186="",D186=""),"",C186*D186)</f>
      </c>
      <c r="F186" s="6"/>
    </row>
    <row r="187">
      <c r="A187" s="9">
        <v>184</v>
      </c>
      <c r="B187" s="7"/>
      <c r="C187" s="9"/>
      <c r="D187" s="4"/>
      <c r="E187" s="4">
        <f>IF(OR(C187="",D187=""),"",C187*D187)</f>
      </c>
      <c r="F187" s="6"/>
    </row>
    <row r="188">
      <c r="A188" s="9">
        <v>185</v>
      </c>
      <c r="B188" s="7"/>
      <c r="C188" s="9"/>
      <c r="D188" s="4"/>
      <c r="E188" s="4">
        <f>IF(OR(C188="",D188=""),"",C188*D188)</f>
      </c>
      <c r="F188" s="6"/>
    </row>
    <row r="189">
      <c r="A189" s="9">
        <v>186</v>
      </c>
      <c r="B189" s="7"/>
      <c r="C189" s="9"/>
      <c r="D189" s="4"/>
      <c r="E189" s="4">
        <f>IF(OR(C189="",D189=""),"",C189*D189)</f>
      </c>
      <c r="F189" s="6"/>
    </row>
    <row r="190">
      <c r="A190" s="9">
        <v>187</v>
      </c>
      <c r="B190" s="7"/>
      <c r="C190" s="9"/>
      <c r="D190" s="4"/>
      <c r="E190" s="4">
        <f>IF(OR(C190="",D190=""),"",C190*D190)</f>
      </c>
      <c r="F190" s="6"/>
    </row>
    <row r="191">
      <c r="A191" s="9">
        <v>188</v>
      </c>
      <c r="B191" s="7"/>
      <c r="C191" s="9"/>
      <c r="D191" s="4"/>
      <c r="E191" s="4">
        <f>IF(OR(C191="",D191=""),"",C191*D191)</f>
      </c>
      <c r="F191" s="6"/>
    </row>
    <row r="192">
      <c r="A192" s="9">
        <v>189</v>
      </c>
      <c r="B192" s="7"/>
      <c r="C192" s="9"/>
      <c r="D192" s="4"/>
      <c r="E192" s="4">
        <f>IF(OR(C192="",D192=""),"",C192*D192)</f>
      </c>
      <c r="F192" s="6"/>
    </row>
    <row r="193">
      <c r="A193" s="9">
        <v>190</v>
      </c>
      <c r="B193" s="7"/>
      <c r="C193" s="9"/>
      <c r="D193" s="4"/>
      <c r="E193" s="4">
        <f>IF(OR(C193="",D193=""),"",C193*D193)</f>
      </c>
      <c r="F193" s="6"/>
    </row>
    <row r="194">
      <c r="A194" s="9">
        <v>191</v>
      </c>
      <c r="B194" s="7"/>
      <c r="C194" s="9"/>
      <c r="D194" s="4"/>
      <c r="E194" s="4">
        <f>IF(OR(C194="",D194=""),"",C194*D194)</f>
      </c>
      <c r="F194" s="6"/>
    </row>
    <row r="195">
      <c r="A195" s="9">
        <v>192</v>
      </c>
      <c r="B195" s="7"/>
      <c r="C195" s="9"/>
      <c r="D195" s="4"/>
      <c r="E195" s="4">
        <f>IF(OR(C195="",D195=""),"",C195*D195)</f>
      </c>
      <c r="F195" s="6"/>
    </row>
    <row r="196">
      <c r="A196" s="9">
        <v>193</v>
      </c>
      <c r="B196" s="7"/>
      <c r="C196" s="9"/>
      <c r="D196" s="4"/>
      <c r="E196" s="4">
        <f>IF(OR(C196="",D196=""),"",C196*D196)</f>
      </c>
      <c r="F196" s="6"/>
    </row>
    <row r="197">
      <c r="A197" s="9">
        <v>194</v>
      </c>
      <c r="B197" s="7"/>
      <c r="C197" s="9"/>
      <c r="D197" s="4"/>
      <c r="E197" s="4">
        <f>IF(OR(C197="",D197=""),"",C197*D197)</f>
      </c>
      <c r="F197" s="6"/>
    </row>
    <row r="198">
      <c r="A198" s="9">
        <v>195</v>
      </c>
      <c r="B198" s="7"/>
      <c r="C198" s="9"/>
      <c r="D198" s="4"/>
      <c r="E198" s="4">
        <f>IF(OR(C198="",D198=""),"",C198*D198)</f>
      </c>
      <c r="F198" s="6"/>
    </row>
    <row r="199">
      <c r="A199" s="9">
        <v>196</v>
      </c>
      <c r="B199" s="7"/>
      <c r="C199" s="9"/>
      <c r="D199" s="4"/>
      <c r="E199" s="4">
        <f>IF(OR(C199="",D199=""),"",C199*D199)</f>
      </c>
      <c r="F199" s="6"/>
    </row>
    <row r="200">
      <c r="A200" s="9">
        <v>197</v>
      </c>
      <c r="B200" s="7"/>
      <c r="C200" s="9"/>
      <c r="D200" s="4"/>
      <c r="E200" s="4">
        <f>IF(OR(C200="",D200=""),"",C200*D200)</f>
      </c>
      <c r="F200" s="6"/>
    </row>
    <row r="201">
      <c r="A201" s="9">
        <v>198</v>
      </c>
      <c r="B201" s="7"/>
      <c r="C201" s="9"/>
      <c r="D201" s="4"/>
      <c r="E201" s="4">
        <f>IF(OR(C201="",D201=""),"",C201*D201)</f>
      </c>
      <c r="F201" s="6"/>
    </row>
    <row r="202">
      <c r="A202" s="9">
        <v>199</v>
      </c>
      <c r="B202" s="7"/>
      <c r="C202" s="9"/>
      <c r="D202" s="4"/>
      <c r="E202" s="4">
        <f>IF(OR(C202="",D202=""),"",C202*D202)</f>
      </c>
      <c r="F202" s="6"/>
    </row>
    <row r="203">
      <c r="A203" s="9">
        <v>200</v>
      </c>
      <c r="B203" s="7"/>
      <c r="C203" s="9"/>
      <c r="D203" s="4"/>
      <c r="E203" s="4">
        <f>IF(OR(C203="",D203=""),"",C203*D203)</f>
      </c>
      <c r="F203" s="6"/>
    </row>
    <row r="204">
      <c r="A204" s="9">
        <v>201</v>
      </c>
      <c r="B204" s="7"/>
      <c r="C204" s="9"/>
      <c r="D204" s="4"/>
      <c r="E204" s="4">
        <f>IF(OR(C204="",D204=""),"",C204*D204)</f>
      </c>
      <c r="F204" s="6"/>
    </row>
    <row r="205">
      <c r="A205" s="9">
        <v>202</v>
      </c>
      <c r="B205" s="7"/>
      <c r="C205" s="9"/>
      <c r="D205" s="4"/>
      <c r="E205" s="4">
        <f>IF(OR(C205="",D205=""),"",C205*D205)</f>
      </c>
      <c r="F205" s="6"/>
    </row>
    <row r="206">
      <c r="A206" s="9">
        <v>203</v>
      </c>
      <c r="B206" s="7"/>
      <c r="C206" s="9"/>
      <c r="D206" s="4"/>
      <c r="E206" s="4">
        <f>IF(OR(C206="",D206=""),"",C206*D206)</f>
      </c>
      <c r="F206" s="6"/>
    </row>
    <row r="207">
      <c r="A207" s="9">
        <v>204</v>
      </c>
      <c r="B207" s="7"/>
      <c r="C207" s="9"/>
      <c r="D207" s="4"/>
      <c r="E207" s="4">
        <f>IF(OR(C207="",D207=""),"",C207*D207)</f>
      </c>
      <c r="F207" s="6"/>
    </row>
    <row r="208">
      <c r="A208" s="9">
        <v>205</v>
      </c>
      <c r="B208" s="7"/>
      <c r="C208" s="9"/>
      <c r="D208" s="4"/>
      <c r="E208" s="4">
        <f>IF(OR(C208="",D208=""),"",C208*D208)</f>
      </c>
      <c r="F208" s="6"/>
    </row>
    <row r="209">
      <c r="A209" s="9">
        <v>206</v>
      </c>
      <c r="B209" s="7"/>
      <c r="C209" s="9"/>
      <c r="D209" s="4"/>
      <c r="E209" s="4">
        <f>IF(OR(C209="",D209=""),"",C209*D209)</f>
      </c>
      <c r="F209" s="6"/>
    </row>
    <row r="210">
      <c r="A210" s="9">
        <v>207</v>
      </c>
      <c r="B210" s="7"/>
      <c r="C210" s="9"/>
      <c r="D210" s="4"/>
      <c r="E210" s="4">
        <f>IF(OR(C210="",D210=""),"",C210*D210)</f>
      </c>
      <c r="F210" s="6"/>
    </row>
    <row r="211">
      <c r="A211" s="9">
        <v>208</v>
      </c>
      <c r="B211" s="7"/>
      <c r="C211" s="9"/>
      <c r="D211" s="4"/>
      <c r="E211" s="4">
        <f>IF(OR(C211="",D211=""),"",C211*D211)</f>
      </c>
      <c r="F211" s="6"/>
    </row>
    <row r="212">
      <c r="A212" s="9">
        <v>209</v>
      </c>
      <c r="B212" s="7"/>
      <c r="C212" s="9"/>
      <c r="D212" s="4"/>
      <c r="E212" s="4">
        <f>IF(OR(C212="",D212=""),"",C212*D212)</f>
      </c>
      <c r="F212" s="6"/>
    </row>
    <row r="213">
      <c r="A213" s="9">
        <v>210</v>
      </c>
      <c r="B213" s="7"/>
      <c r="C213" s="9"/>
      <c r="D213" s="4"/>
      <c r="E213" s="4">
        <f>IF(OR(C213="",D213=""),"",C213*D213)</f>
      </c>
      <c r="F213" s="6"/>
    </row>
    <row r="214">
      <c r="A214" s="9">
        <v>211</v>
      </c>
      <c r="B214" s="7"/>
      <c r="C214" s="9"/>
      <c r="D214" s="4"/>
      <c r="E214" s="4">
        <f>IF(OR(C214="",D214=""),"",C214*D214)</f>
      </c>
      <c r="F214" s="6"/>
    </row>
    <row r="215">
      <c r="A215" s="9">
        <v>212</v>
      </c>
      <c r="B215" s="7"/>
      <c r="C215" s="9"/>
      <c r="D215" s="4"/>
      <c r="E215" s="4">
        <f>IF(OR(C215="",D215=""),"",C215*D215)</f>
      </c>
      <c r="F215" s="6"/>
    </row>
    <row r="216">
      <c r="A216" s="9">
        <v>213</v>
      </c>
      <c r="B216" s="7"/>
      <c r="C216" s="9"/>
      <c r="D216" s="4"/>
      <c r="E216" s="4">
        <f>IF(OR(C216="",D216=""),"",C216*D216)</f>
      </c>
      <c r="F216" s="6"/>
    </row>
    <row r="217">
      <c r="A217" s="9">
        <v>214</v>
      </c>
      <c r="B217" s="7"/>
      <c r="C217" s="9"/>
      <c r="D217" s="4"/>
      <c r="E217" s="4">
        <f>IF(OR(C217="",D217=""),"",C217*D217)</f>
      </c>
      <c r="F217" s="6"/>
    </row>
    <row r="218">
      <c r="A218" s="9">
        <v>215</v>
      </c>
      <c r="B218" s="7"/>
      <c r="C218" s="9"/>
      <c r="D218" s="4"/>
      <c r="E218" s="4">
        <f>IF(OR(C218="",D218=""),"",C218*D218)</f>
      </c>
      <c r="F218" s="6"/>
    </row>
    <row r="219">
      <c r="A219" s="9">
        <v>216</v>
      </c>
      <c r="B219" s="7"/>
      <c r="C219" s="9"/>
      <c r="D219" s="4"/>
      <c r="E219" s="4">
        <f>IF(OR(C219="",D219=""),"",C219*D219)</f>
      </c>
      <c r="F219" s="6"/>
    </row>
    <row r="220">
      <c r="A220" s="9">
        <v>217</v>
      </c>
      <c r="B220" s="7"/>
      <c r="C220" s="9"/>
      <c r="D220" s="4"/>
      <c r="E220" s="4">
        <f>IF(OR(C220="",D220=""),"",C220*D220)</f>
      </c>
      <c r="F220" s="6"/>
    </row>
    <row r="221">
      <c r="A221" s="9">
        <v>218</v>
      </c>
      <c r="B221" s="7"/>
      <c r="C221" s="9"/>
      <c r="D221" s="4"/>
      <c r="E221" s="4">
        <f>IF(OR(C221="",D221=""),"",C221*D221)</f>
      </c>
      <c r="F221" s="6"/>
    </row>
    <row r="222">
      <c r="A222" s="9">
        <v>219</v>
      </c>
      <c r="B222" s="7"/>
      <c r="C222" s="9"/>
      <c r="D222" s="4"/>
      <c r="E222" s="4">
        <f>IF(OR(C222="",D222=""),"",C222*D222)</f>
      </c>
      <c r="F222" s="6"/>
    </row>
    <row r="223">
      <c r="A223" s="9">
        <v>220</v>
      </c>
      <c r="B223" s="7"/>
      <c r="C223" s="9"/>
      <c r="D223" s="4"/>
      <c r="E223" s="4">
        <f>IF(OR(C223="",D223=""),"",C223*D223)</f>
      </c>
      <c r="F223" s="6"/>
    </row>
    <row r="224">
      <c r="A224" s="9">
        <v>221</v>
      </c>
      <c r="B224" s="7"/>
      <c r="C224" s="9"/>
      <c r="D224" s="4"/>
      <c r="E224" s="4">
        <f>IF(OR(C224="",D224=""),"",C224*D224)</f>
      </c>
      <c r="F224" s="6"/>
    </row>
    <row r="225">
      <c r="A225" s="9">
        <v>222</v>
      </c>
      <c r="B225" s="7"/>
      <c r="C225" s="9"/>
      <c r="D225" s="4"/>
      <c r="E225" s="4">
        <f>IF(OR(C225="",D225=""),"",C225*D225)</f>
      </c>
      <c r="F225" s="6"/>
    </row>
    <row r="226">
      <c r="A226" s="9">
        <v>223</v>
      </c>
      <c r="B226" s="7"/>
      <c r="C226" s="9"/>
      <c r="D226" s="4"/>
      <c r="E226" s="4">
        <f>IF(OR(C226="",D226=""),"",C226*D226)</f>
      </c>
      <c r="F226" s="6"/>
    </row>
    <row r="227">
      <c r="A227" s="9">
        <v>224</v>
      </c>
      <c r="B227" s="7"/>
      <c r="C227" s="9"/>
      <c r="D227" s="4"/>
      <c r="E227" s="4">
        <f>IF(OR(C227="",D227=""),"",C227*D227)</f>
      </c>
      <c r="F227" s="6"/>
    </row>
    <row r="228">
      <c r="A228" s="9">
        <v>225</v>
      </c>
      <c r="B228" s="7"/>
      <c r="C228" s="9"/>
      <c r="D228" s="4"/>
      <c r="E228" s="4">
        <f>IF(OR(C228="",D228=""),"",C228*D228)</f>
      </c>
      <c r="F228" s="6"/>
    </row>
    <row r="229">
      <c r="A229" s="9">
        <v>226</v>
      </c>
      <c r="B229" s="7"/>
      <c r="C229" s="9"/>
      <c r="D229" s="4"/>
      <c r="E229" s="4">
        <f>IF(OR(C229="",D229=""),"",C229*D229)</f>
      </c>
      <c r="F229" s="6"/>
    </row>
    <row r="230">
      <c r="A230" s="9">
        <v>227</v>
      </c>
      <c r="B230" s="7"/>
      <c r="C230" s="9"/>
      <c r="D230" s="4"/>
      <c r="E230" s="4">
        <f>IF(OR(C230="",D230=""),"",C230*D230)</f>
      </c>
      <c r="F230" s="6"/>
    </row>
    <row r="231">
      <c r="A231" s="9">
        <v>228</v>
      </c>
      <c r="B231" s="7"/>
      <c r="C231" s="9"/>
      <c r="D231" s="4"/>
      <c r="E231" s="4">
        <f>IF(OR(C231="",D231=""),"",C231*D231)</f>
      </c>
      <c r="F231" s="6"/>
    </row>
    <row r="232">
      <c r="A232" s="9">
        <v>229</v>
      </c>
      <c r="B232" s="7"/>
      <c r="C232" s="9"/>
      <c r="D232" s="4"/>
      <c r="E232" s="4">
        <f>IF(OR(C232="",D232=""),"",C232*D232)</f>
      </c>
      <c r="F232" s="6"/>
    </row>
    <row r="233">
      <c r="A233" s="9">
        <v>230</v>
      </c>
      <c r="B233" s="7"/>
      <c r="C233" s="9"/>
      <c r="D233" s="4"/>
      <c r="E233" s="4">
        <f>IF(OR(C233="",D233=""),"",C233*D233)</f>
      </c>
      <c r="F233" s="6"/>
    </row>
    <row r="234">
      <c r="A234" s="9">
        <v>231</v>
      </c>
      <c r="B234" s="7"/>
      <c r="C234" s="9"/>
      <c r="D234" s="4"/>
      <c r="E234" s="4">
        <f>IF(OR(C234="",D234=""),"",C234*D234)</f>
      </c>
      <c r="F234" s="6"/>
    </row>
    <row r="235">
      <c r="A235" s="9">
        <v>232</v>
      </c>
      <c r="B235" s="7"/>
      <c r="C235" s="9"/>
      <c r="D235" s="4"/>
      <c r="E235" s="4">
        <f>IF(OR(C235="",D235=""),"",C235*D235)</f>
      </c>
      <c r="F235" s="6"/>
    </row>
    <row r="236">
      <c r="A236" s="9">
        <v>233</v>
      </c>
      <c r="B236" s="7"/>
      <c r="C236" s="9"/>
      <c r="D236" s="4"/>
      <c r="E236" s="4">
        <f>IF(OR(C236="",D236=""),"",C236*D236)</f>
      </c>
      <c r="F236" s="6"/>
    </row>
    <row r="237">
      <c r="A237" s="9">
        <v>234</v>
      </c>
      <c r="B237" s="7"/>
      <c r="C237" s="9"/>
      <c r="D237" s="4"/>
      <c r="E237" s="4">
        <f>IF(OR(C237="",D237=""),"",C237*D237)</f>
      </c>
      <c r="F237" s="6"/>
    </row>
    <row r="238">
      <c r="A238" s="9">
        <v>235</v>
      </c>
      <c r="B238" s="7"/>
      <c r="C238" s="9"/>
      <c r="D238" s="4"/>
      <c r="E238" s="4">
        <f>IF(OR(C238="",D238=""),"",C238*D238)</f>
      </c>
      <c r="F238" s="6"/>
    </row>
    <row r="239">
      <c r="A239" s="9">
        <v>236</v>
      </c>
      <c r="B239" s="7"/>
      <c r="C239" s="9"/>
      <c r="D239" s="4"/>
      <c r="E239" s="4">
        <f>IF(OR(C239="",D239=""),"",C239*D239)</f>
      </c>
      <c r="F239" s="6"/>
    </row>
    <row r="240">
      <c r="A240" s="9">
        <v>237</v>
      </c>
      <c r="B240" s="7"/>
      <c r="C240" s="9"/>
      <c r="D240" s="4"/>
      <c r="E240" s="4">
        <f>IF(OR(C240="",D240=""),"",C240*D240)</f>
      </c>
      <c r="F240" s="6"/>
    </row>
    <row r="241">
      <c r="A241" s="9">
        <v>238</v>
      </c>
      <c r="B241" s="7"/>
      <c r="C241" s="9"/>
      <c r="D241" s="4"/>
      <c r="E241" s="4">
        <f>IF(OR(C241="",D241=""),"",C241*D241)</f>
      </c>
      <c r="F241" s="6"/>
    </row>
    <row r="242">
      <c r="A242" s="9">
        <v>239</v>
      </c>
      <c r="B242" s="7"/>
      <c r="C242" s="9"/>
      <c r="D242" s="4"/>
      <c r="E242" s="4">
        <f>IF(OR(C242="",D242=""),"",C242*D242)</f>
      </c>
      <c r="F242" s="6"/>
    </row>
    <row r="243">
      <c r="A243" s="9">
        <v>240</v>
      </c>
      <c r="B243" s="7"/>
      <c r="C243" s="9"/>
      <c r="D243" s="4"/>
      <c r="E243" s="4">
        <f>IF(OR(C243="",D243=""),"",C243*D243)</f>
      </c>
      <c r="F243" s="6"/>
    </row>
    <row r="244">
      <c r="A244" s="9">
        <v>241</v>
      </c>
      <c r="B244" s="7"/>
      <c r="C244" s="9"/>
      <c r="D244" s="4"/>
      <c r="E244" s="4">
        <f>IF(OR(C244="",D244=""),"",C244*D244)</f>
      </c>
      <c r="F244" s="6"/>
    </row>
    <row r="245">
      <c r="A245" s="9">
        <v>242</v>
      </c>
      <c r="B245" s="7"/>
      <c r="C245" s="9"/>
      <c r="D245" s="4"/>
      <c r="E245" s="4">
        <f>IF(OR(C245="",D245=""),"",C245*D245)</f>
      </c>
      <c r="F245" s="6"/>
    </row>
    <row r="246">
      <c r="A246" s="9">
        <v>243</v>
      </c>
      <c r="B246" s="7"/>
      <c r="C246" s="9"/>
      <c r="D246" s="4"/>
      <c r="E246" s="4">
        <f>IF(OR(C246="",D246=""),"",C246*D246)</f>
      </c>
      <c r="F246" s="6"/>
    </row>
    <row r="247">
      <c r="A247" s="9">
        <v>244</v>
      </c>
      <c r="B247" s="7"/>
      <c r="C247" s="9"/>
      <c r="D247" s="4"/>
      <c r="E247" s="4">
        <f>IF(OR(C247="",D247=""),"",C247*D247)</f>
      </c>
      <c r="F247" s="6"/>
    </row>
    <row r="248">
      <c r="A248" s="9">
        <v>245</v>
      </c>
      <c r="B248" s="7"/>
      <c r="C248" s="9"/>
      <c r="D248" s="4"/>
      <c r="E248" s="4">
        <f>IF(OR(C248="",D248=""),"",C248*D248)</f>
      </c>
      <c r="F248" s="6"/>
    </row>
    <row r="249">
      <c r="A249" s="9">
        <v>246</v>
      </c>
      <c r="B249" s="7"/>
      <c r="C249" s="9"/>
      <c r="D249" s="4"/>
      <c r="E249" s="4">
        <f>IF(OR(C249="",D249=""),"",C249*D249)</f>
      </c>
      <c r="F249" s="6"/>
    </row>
    <row r="250">
      <c r="A250" s="9">
        <v>247</v>
      </c>
      <c r="B250" s="7"/>
      <c r="C250" s="9"/>
      <c r="D250" s="4"/>
      <c r="E250" s="4">
        <f>IF(OR(C250="",D250=""),"",C250*D250)</f>
      </c>
      <c r="F250" s="6"/>
    </row>
    <row r="251">
      <c r="A251" s="9">
        <v>248</v>
      </c>
      <c r="B251" s="7"/>
      <c r="C251" s="9"/>
      <c r="D251" s="4"/>
      <c r="E251" s="4">
        <f>IF(OR(C251="",D251=""),"",C251*D251)</f>
      </c>
      <c r="F251" s="6"/>
    </row>
    <row r="252">
      <c r="A252" s="9">
        <v>249</v>
      </c>
      <c r="B252" s="7"/>
      <c r="C252" s="9"/>
      <c r="D252" s="4"/>
      <c r="E252" s="4">
        <f>IF(OR(C252="",D252=""),"",C252*D252)</f>
      </c>
      <c r="F252" s="6"/>
    </row>
    <row r="253">
      <c r="A253" s="9">
        <v>250</v>
      </c>
      <c r="B253" s="7"/>
      <c r="C253" s="9"/>
      <c r="D253" s="4"/>
      <c r="E253" s="4">
        <f>IF(OR(C253="",D253=""),"",C253*D253)</f>
      </c>
      <c r="F253" s="6"/>
    </row>
    <row r="254">
      <c r="A254" s="9">
        <v>251</v>
      </c>
      <c r="B254" s="7"/>
      <c r="C254" s="9"/>
      <c r="D254" s="4"/>
      <c r="E254" s="4">
        <f>IF(OR(C254="",D254=""),"",C254*D254)</f>
      </c>
      <c r="F254" s="6"/>
    </row>
    <row r="255">
      <c r="A255" s="9">
        <v>252</v>
      </c>
      <c r="B255" s="7"/>
      <c r="C255" s="9"/>
      <c r="D255" s="4"/>
      <c r="E255" s="4">
        <f>IF(OR(C255="",D255=""),"",C255*D255)</f>
      </c>
      <c r="F255" s="6"/>
    </row>
    <row r="256">
      <c r="A256" s="9">
        <v>253</v>
      </c>
      <c r="B256" s="7"/>
      <c r="C256" s="9"/>
      <c r="D256" s="4"/>
      <c r="E256" s="4">
        <f>IF(OR(C256="",D256=""),"",C256*D256)</f>
      </c>
      <c r="F256" s="6"/>
    </row>
    <row r="257">
      <c r="A257" s="9">
        <v>254</v>
      </c>
      <c r="B257" s="7"/>
      <c r="C257" s="9"/>
      <c r="D257" s="4"/>
      <c r="E257" s="4">
        <f>IF(OR(C257="",D257=""),"",C257*D257)</f>
      </c>
      <c r="F257" s="6"/>
    </row>
    <row r="258">
      <c r="A258" s="9">
        <v>255</v>
      </c>
      <c r="B258" s="7"/>
      <c r="C258" s="9"/>
      <c r="D258" s="4"/>
      <c r="E258" s="4">
        <f>IF(OR(C258="",D258=""),"",C258*D258)</f>
      </c>
      <c r="F258" s="6"/>
    </row>
    <row r="259">
      <c r="A259" s="9">
        <v>256</v>
      </c>
      <c r="B259" s="7"/>
      <c r="C259" s="9"/>
      <c r="D259" s="4"/>
      <c r="E259" s="4">
        <f>IF(OR(C259="",D259=""),"",C259*D259)</f>
      </c>
      <c r="F259" s="6"/>
    </row>
    <row r="260">
      <c r="A260" s="9">
        <v>257</v>
      </c>
      <c r="B260" s="7"/>
      <c r="C260" s="9"/>
      <c r="D260" s="4"/>
      <c r="E260" s="4">
        <f>IF(OR(C260="",D260=""),"",C260*D260)</f>
      </c>
      <c r="F260" s="6"/>
    </row>
    <row r="261">
      <c r="A261" s="9">
        <v>258</v>
      </c>
      <c r="B261" s="7"/>
      <c r="C261" s="9"/>
      <c r="D261" s="4"/>
      <c r="E261" s="4">
        <f>IF(OR(C261="",D261=""),"",C261*D261)</f>
      </c>
      <c r="F261" s="6"/>
    </row>
    <row r="262">
      <c r="A262" s="9">
        <v>259</v>
      </c>
      <c r="B262" s="7"/>
      <c r="C262" s="9"/>
      <c r="D262" s="4"/>
      <c r="E262" s="4">
        <f>IF(OR(C262="",D262=""),"",C262*D262)</f>
      </c>
      <c r="F262" s="6"/>
    </row>
    <row r="263">
      <c r="A263" s="9">
        <v>260</v>
      </c>
      <c r="B263" s="7"/>
      <c r="C263" s="9"/>
      <c r="D263" s="4"/>
      <c r="E263" s="4">
        <f>IF(OR(C263="",D263=""),"",C263*D263)</f>
      </c>
      <c r="F263" s="6"/>
    </row>
    <row r="264">
      <c r="A264" s="9">
        <v>261</v>
      </c>
      <c r="B264" s="7"/>
      <c r="C264" s="9"/>
      <c r="D264" s="4"/>
      <c r="E264" s="4">
        <f>IF(OR(C264="",D264=""),"",C264*D264)</f>
      </c>
      <c r="F264" s="6"/>
    </row>
    <row r="265">
      <c r="A265" s="9">
        <v>262</v>
      </c>
      <c r="B265" s="7"/>
      <c r="C265" s="9"/>
      <c r="D265" s="4"/>
      <c r="E265" s="4">
        <f>IF(OR(C265="",D265=""),"",C265*D265)</f>
      </c>
      <c r="F265" s="6"/>
    </row>
    <row r="266">
      <c r="A266" s="9">
        <v>263</v>
      </c>
      <c r="B266" s="7"/>
      <c r="C266" s="9"/>
      <c r="D266" s="4"/>
      <c r="E266" s="4">
        <f>IF(OR(C266="",D266=""),"",C266*D266)</f>
      </c>
      <c r="F266" s="6"/>
    </row>
    <row r="267">
      <c r="A267" s="9">
        <v>264</v>
      </c>
      <c r="B267" s="7"/>
      <c r="C267" s="9"/>
      <c r="D267" s="4"/>
      <c r="E267" s="4">
        <f>IF(OR(C267="",D267=""),"",C267*D267)</f>
      </c>
      <c r="F267" s="6"/>
    </row>
    <row r="268">
      <c r="A268" s="9">
        <v>265</v>
      </c>
      <c r="B268" s="7"/>
      <c r="C268" s="9"/>
      <c r="D268" s="4"/>
      <c r="E268" s="4">
        <f>IF(OR(C268="",D268=""),"",C268*D268)</f>
      </c>
      <c r="F268" s="6"/>
    </row>
    <row r="269">
      <c r="A269" s="9">
        <v>266</v>
      </c>
      <c r="B269" s="7"/>
      <c r="C269" s="9"/>
      <c r="D269" s="4"/>
      <c r="E269" s="4">
        <f>IF(OR(C269="",D269=""),"",C269*D269)</f>
      </c>
      <c r="F269" s="6"/>
    </row>
    <row r="270">
      <c r="A270" s="9">
        <v>267</v>
      </c>
      <c r="B270" s="7"/>
      <c r="C270" s="9"/>
      <c r="D270" s="4"/>
      <c r="E270" s="4">
        <f>IF(OR(C270="",D270=""),"",C270*D270)</f>
      </c>
      <c r="F270" s="6"/>
    </row>
    <row r="271">
      <c r="A271" s="9">
        <v>268</v>
      </c>
      <c r="B271" s="7"/>
      <c r="C271" s="9"/>
      <c r="D271" s="4"/>
      <c r="E271" s="4">
        <f>IF(OR(C271="",D271=""),"",C271*D271)</f>
      </c>
      <c r="F271" s="6"/>
    </row>
    <row r="272">
      <c r="A272" s="9">
        <v>269</v>
      </c>
      <c r="B272" s="7"/>
      <c r="C272" s="9"/>
      <c r="D272" s="4"/>
      <c r="E272" s="4">
        <f>IF(OR(C272="",D272=""),"",C272*D272)</f>
      </c>
      <c r="F272" s="6"/>
    </row>
    <row r="273">
      <c r="A273" s="9">
        <v>270</v>
      </c>
      <c r="B273" s="7"/>
      <c r="C273" s="9"/>
      <c r="D273" s="4"/>
      <c r="E273" s="4">
        <f>IF(OR(C273="",D273=""),"",C273*D273)</f>
      </c>
      <c r="F273" s="6"/>
    </row>
    <row r="274">
      <c r="A274" s="9">
        <v>271</v>
      </c>
      <c r="B274" s="7"/>
      <c r="C274" s="9"/>
      <c r="D274" s="4"/>
      <c r="E274" s="4">
        <f>IF(OR(C274="",D274=""),"",C274*D274)</f>
      </c>
      <c r="F274" s="6"/>
    </row>
    <row r="275">
      <c r="A275" s="9">
        <v>272</v>
      </c>
      <c r="B275" s="7"/>
      <c r="C275" s="9"/>
      <c r="D275" s="4"/>
      <c r="E275" s="4">
        <f>IF(OR(C275="",D275=""),"",C275*D275)</f>
      </c>
      <c r="F275" s="6"/>
    </row>
    <row r="276">
      <c r="A276" s="9">
        <v>273</v>
      </c>
      <c r="B276" s="7"/>
      <c r="C276" s="9"/>
      <c r="D276" s="4"/>
      <c r="E276" s="4">
        <f>IF(OR(C276="",D276=""),"",C276*D276)</f>
      </c>
      <c r="F276" s="6"/>
    </row>
    <row r="277">
      <c r="A277" s="9">
        <v>274</v>
      </c>
      <c r="B277" s="7"/>
      <c r="C277" s="9"/>
      <c r="D277" s="4"/>
      <c r="E277" s="4">
        <f>IF(OR(C277="",D277=""),"",C277*D277)</f>
      </c>
      <c r="F277" s="6"/>
    </row>
    <row r="278">
      <c r="A278" s="9">
        <v>275</v>
      </c>
      <c r="B278" s="7"/>
      <c r="C278" s="9"/>
      <c r="D278" s="4"/>
      <c r="E278" s="4">
        <f>IF(OR(C278="",D278=""),"",C278*D278)</f>
      </c>
      <c r="F278" s="6"/>
    </row>
    <row r="279">
      <c r="A279" s="9">
        <v>276</v>
      </c>
      <c r="B279" s="7"/>
      <c r="C279" s="9"/>
      <c r="D279" s="4"/>
      <c r="E279" s="4">
        <f>IF(OR(C279="",D279=""),"",C279*D279)</f>
      </c>
      <c r="F279" s="6"/>
    </row>
    <row r="280">
      <c r="A280" s="9">
        <v>277</v>
      </c>
      <c r="B280" s="7"/>
      <c r="C280" s="9"/>
      <c r="D280" s="4"/>
      <c r="E280" s="4">
        <f>IF(OR(C280="",D280=""),"",C280*D280)</f>
      </c>
      <c r="F280" s="6"/>
    </row>
    <row r="281">
      <c r="A281" s="9">
        <v>278</v>
      </c>
      <c r="B281" s="7"/>
      <c r="C281" s="9"/>
      <c r="D281" s="4"/>
      <c r="E281" s="4">
        <f>IF(OR(C281="",D281=""),"",C281*D281)</f>
      </c>
      <c r="F281" s="6"/>
    </row>
    <row r="282">
      <c r="A282" s="9">
        <v>279</v>
      </c>
      <c r="B282" s="7"/>
      <c r="C282" s="9"/>
      <c r="D282" s="4"/>
      <c r="E282" s="4">
        <f>IF(OR(C282="",D282=""),"",C282*D282)</f>
      </c>
      <c r="F282" s="6"/>
    </row>
    <row r="283">
      <c r="A283" s="9">
        <v>280</v>
      </c>
      <c r="B283" s="7"/>
      <c r="C283" s="9"/>
      <c r="D283" s="4"/>
      <c r="E283" s="4">
        <f>IF(OR(C283="",D283=""),"",C283*D283)</f>
      </c>
      <c r="F283" s="6"/>
    </row>
    <row r="284">
      <c r="A284" s="9">
        <v>281</v>
      </c>
      <c r="B284" s="7"/>
      <c r="C284" s="9"/>
      <c r="D284" s="4"/>
      <c r="E284" s="4">
        <f>IF(OR(C284="",D284=""),"",C284*D284)</f>
      </c>
      <c r="F284" s="6"/>
    </row>
    <row r="285">
      <c r="A285" s="9">
        <v>282</v>
      </c>
      <c r="B285" s="7"/>
      <c r="C285" s="9"/>
      <c r="D285" s="4"/>
      <c r="E285" s="4">
        <f>IF(OR(C285="",D285=""),"",C285*D285)</f>
      </c>
      <c r="F285" s="6"/>
    </row>
    <row r="286">
      <c r="A286" s="9">
        <v>283</v>
      </c>
      <c r="B286" s="7"/>
      <c r="C286" s="9"/>
      <c r="D286" s="4"/>
      <c r="E286" s="4">
        <f>IF(OR(C286="",D286=""),"",C286*D286)</f>
      </c>
      <c r="F286" s="6"/>
    </row>
    <row r="287">
      <c r="A287" s="9">
        <v>284</v>
      </c>
      <c r="B287" s="7"/>
      <c r="C287" s="9"/>
      <c r="D287" s="4"/>
      <c r="E287" s="4">
        <f>IF(OR(C287="",D287=""),"",C287*D287)</f>
      </c>
      <c r="F287" s="6"/>
    </row>
    <row r="288">
      <c r="A288" s="9">
        <v>285</v>
      </c>
      <c r="B288" s="7"/>
      <c r="C288" s="9"/>
      <c r="D288" s="4"/>
      <c r="E288" s="4">
        <f>IF(OR(C288="",D288=""),"",C288*D288)</f>
      </c>
      <c r="F288" s="6"/>
    </row>
    <row r="289">
      <c r="A289" s="9">
        <v>286</v>
      </c>
      <c r="B289" s="7"/>
      <c r="C289" s="9"/>
      <c r="D289" s="4"/>
      <c r="E289" s="4">
        <f>IF(OR(C289="",D289=""),"",C289*D289)</f>
      </c>
      <c r="F289" s="6"/>
    </row>
    <row r="290">
      <c r="A290" s="9">
        <v>287</v>
      </c>
      <c r="B290" s="7"/>
      <c r="C290" s="9"/>
      <c r="D290" s="4"/>
      <c r="E290" s="4">
        <f>IF(OR(C290="",D290=""),"",C290*D290)</f>
      </c>
      <c r="F290" s="6"/>
    </row>
    <row r="291">
      <c r="A291" s="9">
        <v>288</v>
      </c>
      <c r="B291" s="7"/>
      <c r="C291" s="9"/>
      <c r="D291" s="4"/>
      <c r="E291" s="4">
        <f>IF(OR(C291="",D291=""),"",C291*D291)</f>
      </c>
      <c r="F291" s="6"/>
    </row>
    <row r="292">
      <c r="A292" s="9">
        <v>289</v>
      </c>
      <c r="B292" s="7"/>
      <c r="C292" s="9"/>
      <c r="D292" s="4"/>
      <c r="E292" s="4">
        <f>IF(OR(C292="",D292=""),"",C292*D292)</f>
      </c>
      <c r="F292" s="6"/>
    </row>
    <row r="293">
      <c r="A293" s="9">
        <v>290</v>
      </c>
      <c r="B293" s="7"/>
      <c r="C293" s="9"/>
      <c r="D293" s="4"/>
      <c r="E293" s="4">
        <f>IF(OR(C293="",D293=""),"",C293*D293)</f>
      </c>
      <c r="F293" s="6"/>
    </row>
    <row r="294">
      <c r="A294" s="9">
        <v>291</v>
      </c>
      <c r="B294" s="7"/>
      <c r="C294" s="9"/>
      <c r="D294" s="4"/>
      <c r="E294" s="4">
        <f>IF(OR(C294="",D294=""),"",C294*D294)</f>
      </c>
      <c r="F294" s="6"/>
    </row>
    <row r="295">
      <c r="A295" s="9">
        <v>292</v>
      </c>
      <c r="B295" s="7"/>
      <c r="C295" s="9"/>
      <c r="D295" s="4"/>
      <c r="E295" s="4">
        <f>IF(OR(C295="",D295=""),"",C295*D295)</f>
      </c>
      <c r="F295" s="6"/>
    </row>
    <row r="296">
      <c r="A296" s="9">
        <v>293</v>
      </c>
      <c r="B296" s="7"/>
      <c r="C296" s="9"/>
      <c r="D296" s="4"/>
      <c r="E296" s="4">
        <f>IF(OR(C296="",D296=""),"",C296*D296)</f>
      </c>
      <c r="F296" s="6"/>
    </row>
    <row r="297">
      <c r="A297" s="9">
        <v>294</v>
      </c>
      <c r="B297" s="7"/>
      <c r="C297" s="9"/>
      <c r="D297" s="4"/>
      <c r="E297" s="4">
        <f>IF(OR(C297="",D297=""),"",C297*D297)</f>
      </c>
      <c r="F297" s="6"/>
    </row>
    <row r="298">
      <c r="A298" s="9">
        <v>295</v>
      </c>
      <c r="B298" s="7"/>
      <c r="C298" s="9"/>
      <c r="D298" s="4"/>
      <c r="E298" s="4">
        <f>IF(OR(C298="",D298=""),"",C298*D298)</f>
      </c>
      <c r="F298" s="6"/>
    </row>
    <row r="299">
      <c r="A299" s="9">
        <v>296</v>
      </c>
      <c r="B299" s="7"/>
      <c r="C299" s="9"/>
      <c r="D299" s="4"/>
      <c r="E299" s="4">
        <f>IF(OR(C299="",D299=""),"",C299*D299)</f>
      </c>
      <c r="F299" s="6"/>
    </row>
    <row r="300">
      <c r="A300" s="9">
        <v>297</v>
      </c>
      <c r="B300" s="7"/>
      <c r="C300" s="9"/>
      <c r="D300" s="4"/>
      <c r="E300" s="4">
        <f>IF(OR(C300="",D300=""),"",C300*D300)</f>
      </c>
      <c r="F300" s="6"/>
    </row>
    <row r="301">
      <c r="A301" s="9">
        <v>298</v>
      </c>
      <c r="B301" s="7"/>
      <c r="C301" s="9"/>
      <c r="D301" s="4"/>
      <c r="E301" s="4">
        <f>IF(OR(C301="",D301=""),"",C301*D301)</f>
      </c>
      <c r="F301" s="6"/>
    </row>
    <row r="302">
      <c r="A302" s="9">
        <v>299</v>
      </c>
      <c r="B302" s="7"/>
      <c r="C302" s="9"/>
      <c r="D302" s="4"/>
      <c r="E302" s="4">
        <f>IF(OR(C302="",D302=""),"",C302*D302)</f>
      </c>
      <c r="F302" s="6"/>
    </row>
    <row r="303">
      <c r="A303" s="9">
        <v>300</v>
      </c>
      <c r="B303" s="7"/>
      <c r="C303" s="9"/>
      <c r="D303" s="4"/>
      <c r="E303" s="4">
        <f>IF(OR(C303="",D303=""),"",C303*D303)</f>
      </c>
      <c r="F303" s="6"/>
    </row>
    <row r="304">
      <c r="A304" s="9">
        <v>301</v>
      </c>
      <c r="B304" s="7"/>
      <c r="C304" s="9"/>
      <c r="D304" s="4"/>
      <c r="E304" s="4">
        <f>IF(OR(C304="",D304=""),"",C304*D304)</f>
      </c>
      <c r="F304" s="6"/>
    </row>
    <row r="305">
      <c r="A305" s="9">
        <v>302</v>
      </c>
      <c r="B305" s="7"/>
      <c r="C305" s="9"/>
      <c r="D305" s="4"/>
      <c r="E305" s="4">
        <f>IF(OR(C305="",D305=""),"",C305*D305)</f>
      </c>
      <c r="F305" s="6"/>
    </row>
    <row r="306">
      <c r="A306" s="9">
        <v>303</v>
      </c>
      <c r="B306" s="7"/>
      <c r="C306" s="9"/>
      <c r="D306" s="4"/>
      <c r="E306" s="4">
        <f>IF(OR(C306="",D306=""),"",C306*D306)</f>
      </c>
      <c r="F306" s="6"/>
    </row>
    <row r="307">
      <c r="A307" s="9">
        <v>304</v>
      </c>
      <c r="B307" s="7"/>
      <c r="C307" s="9"/>
      <c r="D307" s="4"/>
      <c r="E307" s="4">
        <f>IF(OR(C307="",D307=""),"",C307*D307)</f>
      </c>
      <c r="F307" s="6"/>
    </row>
    <row r="308">
      <c r="A308" s="9">
        <v>305</v>
      </c>
      <c r="B308" s="7"/>
      <c r="C308" s="9"/>
      <c r="D308" s="4"/>
      <c r="E308" s="4">
        <f>IF(OR(C308="",D308=""),"",C308*D308)</f>
      </c>
      <c r="F308" s="6"/>
    </row>
    <row r="309">
      <c r="A309" s="9">
        <v>306</v>
      </c>
      <c r="B309" s="7"/>
      <c r="C309" s="9"/>
      <c r="D309" s="4"/>
      <c r="E309" s="4">
        <f>IF(OR(C309="",D309=""),"",C309*D309)</f>
      </c>
      <c r="F309" s="6"/>
    </row>
    <row r="310">
      <c r="A310" s="9">
        <v>307</v>
      </c>
      <c r="B310" s="7"/>
      <c r="C310" s="9"/>
      <c r="D310" s="4"/>
      <c r="E310" s="4">
        <f>IF(OR(C310="",D310=""),"",C310*D310)</f>
      </c>
      <c r="F310" s="6"/>
    </row>
    <row r="311">
      <c r="A311" s="9">
        <v>308</v>
      </c>
      <c r="B311" s="7"/>
      <c r="C311" s="9"/>
      <c r="D311" s="4"/>
      <c r="E311" s="4">
        <f>IF(OR(C311="",D311=""),"",C311*D311)</f>
      </c>
      <c r="F311" s="6"/>
    </row>
    <row r="312">
      <c r="A312" s="9">
        <v>309</v>
      </c>
      <c r="B312" s="7"/>
      <c r="C312" s="9"/>
      <c r="D312" s="4"/>
      <c r="E312" s="4">
        <f>IF(OR(C312="",D312=""),"",C312*D312)</f>
      </c>
      <c r="F312" s="6"/>
    </row>
    <row r="313">
      <c r="A313" s="9">
        <v>310</v>
      </c>
      <c r="B313" s="7"/>
      <c r="C313" s="9"/>
      <c r="D313" s="4"/>
      <c r="E313" s="4">
        <f>IF(OR(C313="",D313=""),"",C313*D313)</f>
      </c>
      <c r="F313" s="6"/>
    </row>
    <row r="314">
      <c r="A314" s="9">
        <v>311</v>
      </c>
      <c r="B314" s="7"/>
      <c r="C314" s="9"/>
      <c r="D314" s="4"/>
      <c r="E314" s="4">
        <f>IF(OR(C314="",D314=""),"",C314*D314)</f>
      </c>
      <c r="F314" s="6"/>
    </row>
    <row r="315">
      <c r="A315" s="9">
        <v>312</v>
      </c>
      <c r="B315" s="7"/>
      <c r="C315" s="9"/>
      <c r="D315" s="4"/>
      <c r="E315" s="4">
        <f>IF(OR(C315="",D315=""),"",C315*D315)</f>
      </c>
      <c r="F315" s="6"/>
    </row>
    <row r="316">
      <c r="A316" s="9">
        <v>313</v>
      </c>
      <c r="B316" s="7"/>
      <c r="C316" s="9"/>
      <c r="D316" s="4"/>
      <c r="E316" s="4">
        <f>IF(OR(C316="",D316=""),"",C316*D316)</f>
      </c>
      <c r="F316" s="6"/>
    </row>
    <row r="317">
      <c r="A317" s="9">
        <v>314</v>
      </c>
      <c r="B317" s="7"/>
      <c r="C317" s="9"/>
      <c r="D317" s="4"/>
      <c r="E317" s="4">
        <f>IF(OR(C317="",D317=""),"",C317*D317)</f>
      </c>
      <c r="F317" s="6"/>
    </row>
    <row r="318">
      <c r="A318" s="9">
        <v>315</v>
      </c>
      <c r="B318" s="7"/>
      <c r="C318" s="9"/>
      <c r="D318" s="4"/>
      <c r="E318" s="4">
        <f>IF(OR(C318="",D318=""),"",C318*D318)</f>
      </c>
      <c r="F318" s="6"/>
    </row>
    <row r="319">
      <c r="A319" s="9">
        <v>316</v>
      </c>
      <c r="B319" s="7"/>
      <c r="C319" s="9"/>
      <c r="D319" s="4"/>
      <c r="E319" s="4">
        <f>IF(OR(C319="",D319=""),"",C319*D319)</f>
      </c>
      <c r="F319" s="6"/>
    </row>
    <row r="320">
      <c r="A320" s="9">
        <v>317</v>
      </c>
      <c r="B320" s="7"/>
      <c r="C320" s="9"/>
      <c r="D320" s="4"/>
      <c r="E320" s="4">
        <f>IF(OR(C320="",D320=""),"",C320*D320)</f>
      </c>
      <c r="F320" s="6"/>
    </row>
    <row r="321">
      <c r="A321" s="9">
        <v>318</v>
      </c>
      <c r="B321" s="7"/>
      <c r="C321" s="9"/>
      <c r="D321" s="4"/>
      <c r="E321" s="4">
        <f>IF(OR(C321="",D321=""),"",C321*D321)</f>
      </c>
      <c r="F321" s="6"/>
    </row>
    <row r="322">
      <c r="A322" s="9">
        <v>319</v>
      </c>
      <c r="B322" s="7"/>
      <c r="C322" s="9"/>
      <c r="D322" s="4"/>
      <c r="E322" s="4">
        <f>IF(OR(C322="",D322=""),"",C322*D322)</f>
      </c>
      <c r="F322" s="6"/>
    </row>
    <row r="323">
      <c r="A323" s="9">
        <v>320</v>
      </c>
      <c r="B323" s="7"/>
      <c r="C323" s="9"/>
      <c r="D323" s="4"/>
      <c r="E323" s="4">
        <f>IF(OR(C323="",D323=""),"",C323*D323)</f>
      </c>
      <c r="F323" s="6"/>
    </row>
    <row r="324">
      <c r="A324" s="9">
        <v>321</v>
      </c>
      <c r="B324" s="7"/>
      <c r="C324" s="9"/>
      <c r="D324" s="4"/>
      <c r="E324" s="4">
        <f>IF(OR(C324="",D324=""),"",C324*D324)</f>
      </c>
      <c r="F324" s="6"/>
    </row>
    <row r="325">
      <c r="A325" s="9">
        <v>322</v>
      </c>
      <c r="B325" s="7"/>
      <c r="C325" s="9"/>
      <c r="D325" s="4"/>
      <c r="E325" s="4">
        <f>IF(OR(C325="",D325=""),"",C325*D325)</f>
      </c>
      <c r="F325" s="6"/>
    </row>
    <row r="326">
      <c r="A326" s="9">
        <v>323</v>
      </c>
      <c r="B326" s="7"/>
      <c r="C326" s="9"/>
      <c r="D326" s="4"/>
      <c r="E326" s="4">
        <f>IF(OR(C326="",D326=""),"",C326*D326)</f>
      </c>
      <c r="F326" s="6"/>
    </row>
    <row r="327">
      <c r="A327" s="9">
        <v>324</v>
      </c>
      <c r="B327" s="7"/>
      <c r="C327" s="9"/>
      <c r="D327" s="4"/>
      <c r="E327" s="4">
        <f>IF(OR(C327="",D327=""),"",C327*D327)</f>
      </c>
      <c r="F327" s="6"/>
    </row>
    <row r="328">
      <c r="A328" s="9">
        <v>325</v>
      </c>
      <c r="B328" s="7"/>
      <c r="C328" s="9"/>
      <c r="D328" s="4"/>
      <c r="E328" s="4">
        <f>IF(OR(C328="",D328=""),"",C328*D328)</f>
      </c>
      <c r="F328" s="6"/>
    </row>
    <row r="329">
      <c r="A329" s="9">
        <v>326</v>
      </c>
      <c r="B329" s="7"/>
      <c r="C329" s="9"/>
      <c r="D329" s="4"/>
      <c r="E329" s="4">
        <f>IF(OR(C329="",D329=""),"",C329*D329)</f>
      </c>
      <c r="F329" s="6"/>
    </row>
    <row r="330">
      <c r="A330" s="9">
        <v>327</v>
      </c>
      <c r="B330" s="7"/>
      <c r="C330" s="9"/>
      <c r="D330" s="4"/>
      <c r="E330" s="4">
        <f>IF(OR(C330="",D330=""),"",C330*D330)</f>
      </c>
      <c r="F330" s="6"/>
    </row>
    <row r="331">
      <c r="A331" s="9">
        <v>328</v>
      </c>
      <c r="B331" s="7"/>
      <c r="C331" s="9"/>
      <c r="D331" s="4"/>
      <c r="E331" s="4">
        <f>IF(OR(C331="",D331=""),"",C331*D331)</f>
      </c>
      <c r="F331" s="6"/>
    </row>
    <row r="332">
      <c r="A332" s="9">
        <v>329</v>
      </c>
      <c r="B332" s="7"/>
      <c r="C332" s="9"/>
      <c r="D332" s="4"/>
      <c r="E332" s="4">
        <f>IF(OR(C332="",D332=""),"",C332*D332)</f>
      </c>
      <c r="F332" s="6"/>
    </row>
    <row r="333">
      <c r="A333" s="9">
        <v>330</v>
      </c>
      <c r="B333" s="7"/>
      <c r="C333" s="9"/>
      <c r="D333" s="4"/>
      <c r="E333" s="4">
        <f>IF(OR(C333="",D333=""),"",C333*D333)</f>
      </c>
      <c r="F333" s="6"/>
    </row>
    <row r="334">
      <c r="A334" s="9">
        <v>331</v>
      </c>
      <c r="B334" s="7"/>
      <c r="C334" s="9"/>
      <c r="D334" s="4"/>
      <c r="E334" s="4">
        <f>IF(OR(C334="",D334=""),"",C334*D334)</f>
      </c>
      <c r="F334" s="6"/>
    </row>
    <row r="335">
      <c r="A335" s="9">
        <v>332</v>
      </c>
      <c r="B335" s="7"/>
      <c r="C335" s="9"/>
      <c r="D335" s="4"/>
      <c r="E335" s="4">
        <f>IF(OR(C335="",D335=""),"",C335*D335)</f>
      </c>
      <c r="F335" s="6"/>
    </row>
    <row r="336">
      <c r="A336" s="9">
        <v>333</v>
      </c>
      <c r="B336" s="7"/>
      <c r="C336" s="9"/>
      <c r="D336" s="4"/>
      <c r="E336" s="4">
        <f>IF(OR(C336="",D336=""),"",C336*D336)</f>
      </c>
      <c r="F336" s="6"/>
    </row>
    <row r="337">
      <c r="A337" s="9">
        <v>334</v>
      </c>
      <c r="B337" s="7"/>
      <c r="C337" s="9"/>
      <c r="D337" s="4"/>
      <c r="E337" s="4">
        <f>IF(OR(C337="",D337=""),"",C337*D337)</f>
      </c>
      <c r="F337" s="6"/>
    </row>
    <row r="338">
      <c r="A338" s="9">
        <v>335</v>
      </c>
      <c r="B338" s="7"/>
      <c r="C338" s="9"/>
      <c r="D338" s="4"/>
      <c r="E338" s="4">
        <f>IF(OR(C338="",D338=""),"",C338*D338)</f>
      </c>
      <c r="F338" s="6"/>
    </row>
    <row r="339">
      <c r="A339" s="9">
        <v>336</v>
      </c>
      <c r="B339" s="7"/>
      <c r="C339" s="9"/>
      <c r="D339" s="4"/>
      <c r="E339" s="4">
        <f>IF(OR(C339="",D339=""),"",C339*D339)</f>
      </c>
      <c r="F339" s="6"/>
    </row>
    <row r="340">
      <c r="A340" s="9">
        <v>337</v>
      </c>
      <c r="B340" s="7"/>
      <c r="C340" s="9"/>
      <c r="D340" s="4"/>
      <c r="E340" s="4">
        <f>IF(OR(C340="",D340=""),"",C340*D340)</f>
      </c>
      <c r="F340" s="6"/>
    </row>
    <row r="341">
      <c r="A341" s="9">
        <v>338</v>
      </c>
      <c r="B341" s="7"/>
      <c r="C341" s="9"/>
      <c r="D341" s="4"/>
      <c r="E341" s="4">
        <f>IF(OR(C341="",D341=""),"",C341*D341)</f>
      </c>
      <c r="F341" s="6"/>
    </row>
    <row r="342">
      <c r="A342" s="9">
        <v>339</v>
      </c>
      <c r="B342" s="7"/>
      <c r="C342" s="9"/>
      <c r="D342" s="4"/>
      <c r="E342" s="4">
        <f>IF(OR(C342="",D342=""),"",C342*D342)</f>
      </c>
      <c r="F342" s="6"/>
    </row>
    <row r="343">
      <c r="A343" s="9">
        <v>340</v>
      </c>
      <c r="B343" s="7"/>
      <c r="C343" s="9"/>
      <c r="D343" s="4"/>
      <c r="E343" s="4">
        <f>IF(OR(C343="",D343=""),"",C343*D343)</f>
      </c>
      <c r="F343" s="6"/>
    </row>
    <row r="344">
      <c r="A344" s="9">
        <v>341</v>
      </c>
      <c r="B344" s="7"/>
      <c r="C344" s="9"/>
      <c r="D344" s="4"/>
      <c r="E344" s="4">
        <f>IF(OR(C344="",D344=""),"",C344*D344)</f>
      </c>
      <c r="F344" s="6"/>
    </row>
    <row r="345">
      <c r="A345" s="9">
        <v>342</v>
      </c>
      <c r="B345" s="7"/>
      <c r="C345" s="9"/>
      <c r="D345" s="4"/>
      <c r="E345" s="4">
        <f>IF(OR(C345="",D345=""),"",C345*D345)</f>
      </c>
      <c r="F345" s="6"/>
    </row>
    <row r="346">
      <c r="A346" s="9">
        <v>343</v>
      </c>
      <c r="B346" s="7"/>
      <c r="C346" s="9"/>
      <c r="D346" s="4"/>
      <c r="E346" s="4">
        <f>IF(OR(C346="",D346=""),"",C346*D346)</f>
      </c>
      <c r="F346" s="6"/>
    </row>
    <row r="347">
      <c r="A347" s="9">
        <v>344</v>
      </c>
      <c r="B347" s="7"/>
      <c r="C347" s="9"/>
      <c r="D347" s="4"/>
      <c r="E347" s="4">
        <f>IF(OR(C347="",D347=""),"",C347*D347)</f>
      </c>
      <c r="F347" s="6"/>
    </row>
    <row r="348">
      <c r="A348" s="9">
        <v>345</v>
      </c>
      <c r="B348" s="7"/>
      <c r="C348" s="9"/>
      <c r="D348" s="4"/>
      <c r="E348" s="4">
        <f>IF(OR(C348="",D348=""),"",C348*D348)</f>
      </c>
      <c r="F348" s="6"/>
    </row>
    <row r="349">
      <c r="A349" s="9">
        <v>346</v>
      </c>
      <c r="B349" s="7"/>
      <c r="C349" s="9"/>
      <c r="D349" s="4"/>
      <c r="E349" s="4">
        <f>IF(OR(C349="",D349=""),"",C349*D349)</f>
      </c>
      <c r="F349" s="6"/>
    </row>
    <row r="350">
      <c r="A350" s="9">
        <v>347</v>
      </c>
      <c r="B350" s="7"/>
      <c r="C350" s="9"/>
      <c r="D350" s="4"/>
      <c r="E350" s="4">
        <f>IF(OR(C350="",D350=""),"",C350*D350)</f>
      </c>
      <c r="F350" s="6"/>
    </row>
    <row r="351">
      <c r="A351" s="9">
        <v>348</v>
      </c>
      <c r="B351" s="7"/>
      <c r="C351" s="9"/>
      <c r="D351" s="4"/>
      <c r="E351" s="4">
        <f>IF(OR(C351="",D351=""),"",C351*D351)</f>
      </c>
      <c r="F351" s="6"/>
    </row>
    <row r="352">
      <c r="A352" s="9">
        <v>349</v>
      </c>
      <c r="B352" s="7"/>
      <c r="C352" s="9"/>
      <c r="D352" s="4"/>
      <c r="E352" s="4">
        <f>IF(OR(C352="",D352=""),"",C352*D352)</f>
      </c>
      <c r="F352" s="6"/>
    </row>
    <row r="353">
      <c r="A353" s="9">
        <v>350</v>
      </c>
      <c r="B353" s="7"/>
      <c r="C353" s="9"/>
      <c r="D353" s="4"/>
      <c r="E353" s="4">
        <f>IF(OR(C353="",D353=""),"",C353*D353)</f>
      </c>
      <c r="F353" s="6"/>
    </row>
    <row r="354">
      <c r="A354" s="9">
        <v>351</v>
      </c>
      <c r="B354" s="7"/>
      <c r="C354" s="9"/>
      <c r="D354" s="4"/>
      <c r="E354" s="4">
        <f>IF(OR(C354="",D354=""),"",C354*D354)</f>
      </c>
      <c r="F354" s="6"/>
    </row>
    <row r="355">
      <c r="A355" s="9">
        <v>352</v>
      </c>
      <c r="B355" s="7"/>
      <c r="C355" s="9"/>
      <c r="D355" s="4"/>
      <c r="E355" s="4">
        <f>IF(OR(C355="",D355=""),"",C355*D355)</f>
      </c>
      <c r="F355" s="6"/>
    </row>
    <row r="356">
      <c r="A356" s="9">
        <v>353</v>
      </c>
      <c r="B356" s="7"/>
      <c r="C356" s="9"/>
      <c r="D356" s="4"/>
      <c r="E356" s="4">
        <f>IF(OR(C356="",D356=""),"",C356*D356)</f>
      </c>
      <c r="F356" s="6"/>
    </row>
    <row r="357">
      <c r="A357" s="9">
        <v>354</v>
      </c>
      <c r="B357" s="7"/>
      <c r="C357" s="9"/>
      <c r="D357" s="4"/>
      <c r="E357" s="4">
        <f>IF(OR(C357="",D357=""),"",C357*D357)</f>
      </c>
      <c r="F357" s="6"/>
    </row>
    <row r="358">
      <c r="A358" s="9">
        <v>355</v>
      </c>
      <c r="B358" s="7"/>
      <c r="C358" s="9"/>
      <c r="D358" s="4"/>
      <c r="E358" s="4">
        <f>IF(OR(C358="",D358=""),"",C358*D358)</f>
      </c>
      <c r="F358" s="6"/>
    </row>
    <row r="359">
      <c r="A359" s="9">
        <v>356</v>
      </c>
      <c r="B359" s="7"/>
      <c r="C359" s="9"/>
      <c r="D359" s="4"/>
      <c r="E359" s="4">
        <f>IF(OR(C359="",D359=""),"",C359*D359)</f>
      </c>
      <c r="F359" s="6"/>
    </row>
    <row r="360">
      <c r="A360" s="9">
        <v>357</v>
      </c>
      <c r="B360" s="7"/>
      <c r="C360" s="9"/>
      <c r="D360" s="4"/>
      <c r="E360" s="4">
        <f>IF(OR(C360="",D360=""),"",C360*D360)</f>
      </c>
      <c r="F360" s="6"/>
    </row>
    <row r="361">
      <c r="A361" s="9">
        <v>358</v>
      </c>
      <c r="B361" s="7"/>
      <c r="C361" s="9"/>
      <c r="D361" s="4"/>
      <c r="E361" s="4">
        <f>IF(OR(C361="",D361=""),"",C361*D361)</f>
      </c>
      <c r="F361" s="6"/>
    </row>
    <row r="362">
      <c r="A362" s="9">
        <v>359</v>
      </c>
      <c r="B362" s="7"/>
      <c r="C362" s="9"/>
      <c r="D362" s="4"/>
      <c r="E362" s="4">
        <f>IF(OR(C362="",D362=""),"",C362*D362)</f>
      </c>
      <c r="F362" s="6"/>
    </row>
    <row r="363">
      <c r="A363" s="9">
        <v>360</v>
      </c>
      <c r="B363" s="7"/>
      <c r="C363" s="9"/>
      <c r="D363" s="4"/>
      <c r="E363" s="4">
        <f>IF(OR(C363="",D363=""),"",C363*D363)</f>
      </c>
      <c r="F363" s="6"/>
    </row>
    <row r="364">
      <c r="A364" s="9">
        <v>361</v>
      </c>
      <c r="B364" s="7"/>
      <c r="C364" s="9"/>
      <c r="D364" s="4"/>
      <c r="E364" s="4">
        <f>IF(OR(C364="",D364=""),"",C364*D364)</f>
      </c>
      <c r="F364" s="6"/>
    </row>
    <row r="365">
      <c r="A365" s="9">
        <v>362</v>
      </c>
      <c r="B365" s="7"/>
      <c r="C365" s="9"/>
      <c r="D365" s="4"/>
      <c r="E365" s="4">
        <f>IF(OR(C365="",D365=""),"",C365*D365)</f>
      </c>
      <c r="F365" s="6"/>
    </row>
    <row r="366">
      <c r="A366" s="9">
        <v>363</v>
      </c>
      <c r="B366" s="7"/>
      <c r="C366" s="9"/>
      <c r="D366" s="4"/>
      <c r="E366" s="4">
        <f>IF(OR(C366="",D366=""),"",C366*D366)</f>
      </c>
      <c r="F366" s="6"/>
    </row>
    <row r="367">
      <c r="A367" s="9">
        <v>364</v>
      </c>
      <c r="B367" s="7"/>
      <c r="C367" s="9"/>
      <c r="D367" s="4"/>
      <c r="E367" s="4">
        <f>IF(OR(C367="",D367=""),"",C367*D367)</f>
      </c>
      <c r="F367" s="6"/>
    </row>
    <row r="368">
      <c r="A368" s="9">
        <v>365</v>
      </c>
      <c r="B368" s="7"/>
      <c r="C368" s="9"/>
      <c r="D368" s="4"/>
      <c r="E368" s="4">
        <f>IF(OR(C368="",D368=""),"",C368*D368)</f>
      </c>
      <c r="F368" s="6"/>
    </row>
    <row r="369">
      <c r="A369" s="9">
        <v>366</v>
      </c>
      <c r="B369" s="7"/>
      <c r="C369" s="9"/>
      <c r="D369" s="4"/>
      <c r="E369" s="4">
        <f>IF(OR(C369="",D369=""),"",C369*D369)</f>
      </c>
      <c r="F369" s="6"/>
    </row>
    <row r="370">
      <c r="A370" s="9">
        <v>367</v>
      </c>
      <c r="B370" s="7"/>
      <c r="C370" s="9"/>
      <c r="D370" s="4"/>
      <c r="E370" s="4">
        <f>IF(OR(C370="",D370=""),"",C370*D370)</f>
      </c>
      <c r="F370" s="6"/>
    </row>
    <row r="371">
      <c r="A371" s="9">
        <v>368</v>
      </c>
      <c r="B371" s="7"/>
      <c r="C371" s="9"/>
      <c r="D371" s="4"/>
      <c r="E371" s="4">
        <f>IF(OR(C371="",D371=""),"",C371*D371)</f>
      </c>
      <c r="F371" s="6"/>
    </row>
    <row r="372">
      <c r="A372" s="9">
        <v>369</v>
      </c>
      <c r="B372" s="7"/>
      <c r="C372" s="9"/>
      <c r="D372" s="4"/>
      <c r="E372" s="4">
        <f>IF(OR(C372="",D372=""),"",C372*D372)</f>
      </c>
      <c r="F372" s="6"/>
    </row>
    <row r="373">
      <c r="A373" s="9">
        <v>370</v>
      </c>
      <c r="B373" s="7"/>
      <c r="C373" s="9"/>
      <c r="D373" s="4"/>
      <c r="E373" s="4">
        <f>IF(OR(C373="",D373=""),"",C373*D373)</f>
      </c>
      <c r="F373" s="6"/>
    </row>
    <row r="374">
      <c r="A374" s="9">
        <v>371</v>
      </c>
      <c r="B374" s="7"/>
      <c r="C374" s="9"/>
      <c r="D374" s="4"/>
      <c r="E374" s="4">
        <f>IF(OR(C374="",D374=""),"",C374*D374)</f>
      </c>
      <c r="F374" s="6"/>
    </row>
    <row r="375">
      <c r="A375" s="9">
        <v>372</v>
      </c>
      <c r="B375" s="7"/>
      <c r="C375" s="9"/>
      <c r="D375" s="4"/>
      <c r="E375" s="4">
        <f>IF(OR(C375="",D375=""),"",C375*D375)</f>
      </c>
      <c r="F375" s="6"/>
    </row>
    <row r="376">
      <c r="A376" s="9">
        <v>373</v>
      </c>
      <c r="B376" s="7"/>
      <c r="C376" s="9"/>
      <c r="D376" s="4"/>
      <c r="E376" s="4">
        <f>IF(OR(C376="",D376=""),"",C376*D376)</f>
      </c>
      <c r="F376" s="6"/>
    </row>
    <row r="377">
      <c r="A377" s="9">
        <v>374</v>
      </c>
      <c r="B377" s="7"/>
      <c r="C377" s="9"/>
      <c r="D377" s="4"/>
      <c r="E377" s="4">
        <f>IF(OR(C377="",D377=""),"",C377*D377)</f>
      </c>
      <c r="F377" s="6"/>
    </row>
    <row r="378">
      <c r="A378" s="9">
        <v>375</v>
      </c>
      <c r="B378" s="7"/>
      <c r="C378" s="9"/>
      <c r="D378" s="4"/>
      <c r="E378" s="4">
        <f>IF(OR(C378="",D378=""),"",C378*D378)</f>
      </c>
      <c r="F378" s="6"/>
    </row>
    <row r="379">
      <c r="A379" s="9">
        <v>376</v>
      </c>
      <c r="B379" s="7"/>
      <c r="C379" s="9"/>
      <c r="D379" s="4"/>
      <c r="E379" s="4">
        <f>IF(OR(C379="",D379=""),"",C379*D379)</f>
      </c>
      <c r="F379" s="6"/>
    </row>
    <row r="380">
      <c r="A380" s="9">
        <v>377</v>
      </c>
      <c r="B380" s="7"/>
      <c r="C380" s="9"/>
      <c r="D380" s="4"/>
      <c r="E380" s="4">
        <f>IF(OR(C380="",D380=""),"",C380*D380)</f>
      </c>
      <c r="F380" s="6"/>
    </row>
    <row r="381">
      <c r="A381" s="9">
        <v>378</v>
      </c>
      <c r="B381" s="7"/>
      <c r="C381" s="9"/>
      <c r="D381" s="4"/>
      <c r="E381" s="4">
        <f>IF(OR(C381="",D381=""),"",C381*D381)</f>
      </c>
      <c r="F381" s="6"/>
    </row>
    <row r="382">
      <c r="A382" s="9">
        <v>379</v>
      </c>
      <c r="B382" s="7"/>
      <c r="C382" s="9"/>
      <c r="D382" s="4"/>
      <c r="E382" s="4">
        <f>IF(OR(C382="",D382=""),"",C382*D382)</f>
      </c>
      <c r="F382" s="6"/>
    </row>
    <row r="383">
      <c r="A383" s="9">
        <v>380</v>
      </c>
      <c r="B383" s="7"/>
      <c r="C383" s="9"/>
      <c r="D383" s="4"/>
      <c r="E383" s="4">
        <f>IF(OR(C383="",D383=""),"",C383*D383)</f>
      </c>
      <c r="F383" s="6"/>
    </row>
    <row r="384">
      <c r="A384" s="9">
        <v>381</v>
      </c>
      <c r="B384" s="7"/>
      <c r="C384" s="9"/>
      <c r="D384" s="4"/>
      <c r="E384" s="4">
        <f>IF(OR(C384="",D384=""),"",C384*D384)</f>
      </c>
      <c r="F384" s="6"/>
    </row>
    <row r="385">
      <c r="A385" s="9">
        <v>382</v>
      </c>
      <c r="B385" s="7"/>
      <c r="C385" s="9"/>
      <c r="D385" s="4"/>
      <c r="E385" s="4">
        <f>IF(OR(C385="",D385=""),"",C385*D385)</f>
      </c>
      <c r="F385" s="6"/>
    </row>
    <row r="386">
      <c r="A386" s="9">
        <v>383</v>
      </c>
      <c r="B386" s="7"/>
      <c r="C386" s="9"/>
      <c r="D386" s="4"/>
      <c r="E386" s="4">
        <f>IF(OR(C386="",D386=""),"",C386*D386)</f>
      </c>
      <c r="F386" s="6"/>
    </row>
    <row r="387">
      <c r="A387" s="9">
        <v>384</v>
      </c>
      <c r="B387" s="7"/>
      <c r="C387" s="9"/>
      <c r="D387" s="4"/>
      <c r="E387" s="4">
        <f>IF(OR(C387="",D387=""),"",C387*D387)</f>
      </c>
      <c r="F387" s="6"/>
    </row>
    <row r="388">
      <c r="A388" s="9">
        <v>385</v>
      </c>
      <c r="B388" s="7"/>
      <c r="C388" s="9"/>
      <c r="D388" s="4"/>
      <c r="E388" s="4">
        <f>IF(OR(C388="",D388=""),"",C388*D388)</f>
      </c>
      <c r="F388" s="6"/>
    </row>
    <row r="389">
      <c r="A389" s="9">
        <v>386</v>
      </c>
      <c r="B389" s="7"/>
      <c r="C389" s="9"/>
      <c r="D389" s="4"/>
      <c r="E389" s="4">
        <f>IF(OR(C389="",D389=""),"",C389*D389)</f>
      </c>
      <c r="F389" s="6"/>
    </row>
    <row r="390">
      <c r="A390" s="9">
        <v>387</v>
      </c>
      <c r="B390" s="7"/>
      <c r="C390" s="9"/>
      <c r="D390" s="4"/>
      <c r="E390" s="4">
        <f>IF(OR(C390="",D390=""),"",C390*D390)</f>
      </c>
      <c r="F390" s="6"/>
    </row>
    <row r="391">
      <c r="A391" s="9">
        <v>388</v>
      </c>
      <c r="B391" s="7"/>
      <c r="C391" s="9"/>
      <c r="D391" s="4"/>
      <c r="E391" s="4">
        <f>IF(OR(C391="",D391=""),"",C391*D391)</f>
      </c>
      <c r="F391" s="6"/>
    </row>
    <row r="392">
      <c r="A392" s="9">
        <v>389</v>
      </c>
      <c r="B392" s="7"/>
      <c r="C392" s="9"/>
      <c r="D392" s="4"/>
      <c r="E392" s="4">
        <f>IF(OR(C392="",D392=""),"",C392*D392)</f>
      </c>
      <c r="F392" s="6"/>
    </row>
    <row r="393">
      <c r="A393" s="9">
        <v>390</v>
      </c>
      <c r="B393" s="7"/>
      <c r="C393" s="9"/>
      <c r="D393" s="4"/>
      <c r="E393" s="4">
        <f>IF(OR(C393="",D393=""),"",C393*D393)</f>
      </c>
      <c r="F393" s="6"/>
    </row>
    <row r="394">
      <c r="A394" s="9">
        <v>391</v>
      </c>
      <c r="B394" s="7"/>
      <c r="C394" s="9"/>
      <c r="D394" s="4"/>
      <c r="E394" s="4">
        <f>IF(OR(C394="",D394=""),"",C394*D394)</f>
      </c>
      <c r="F394" s="6"/>
    </row>
    <row r="395">
      <c r="A395" s="9">
        <v>392</v>
      </c>
      <c r="B395" s="7"/>
      <c r="C395" s="9"/>
      <c r="D395" s="4"/>
      <c r="E395" s="4">
        <f>IF(OR(C395="",D395=""),"",C395*D395)</f>
      </c>
      <c r="F395" s="6"/>
    </row>
    <row r="396">
      <c r="A396" s="9">
        <v>393</v>
      </c>
      <c r="B396" s="7"/>
      <c r="C396" s="9"/>
      <c r="D396" s="4"/>
      <c r="E396" s="4">
        <f>IF(OR(C396="",D396=""),"",C396*D396)</f>
      </c>
      <c r="F396" s="6"/>
    </row>
    <row r="397">
      <c r="A397" s="9">
        <v>394</v>
      </c>
      <c r="B397" s="7"/>
      <c r="C397" s="9"/>
      <c r="D397" s="4"/>
      <c r="E397" s="4">
        <f>IF(OR(C397="",D397=""),"",C397*D397)</f>
      </c>
      <c r="F397" s="6"/>
    </row>
    <row r="398">
      <c r="A398" s="9">
        <v>395</v>
      </c>
      <c r="B398" s="7"/>
      <c r="C398" s="9"/>
      <c r="D398" s="4"/>
      <c r="E398" s="4">
        <f>IF(OR(C398="",D398=""),"",C398*D398)</f>
      </c>
      <c r="F398" s="6"/>
    </row>
    <row r="399">
      <c r="A399" s="9">
        <v>396</v>
      </c>
      <c r="B399" s="7"/>
      <c r="C399" s="9"/>
      <c r="D399" s="4"/>
      <c r="E399" s="4">
        <f>IF(OR(C399="",D399=""),"",C399*D399)</f>
      </c>
      <c r="F399" s="6"/>
    </row>
    <row r="400">
      <c r="A400" s="9">
        <v>397</v>
      </c>
      <c r="B400" s="7"/>
      <c r="C400" s="9"/>
      <c r="D400" s="4"/>
      <c r="E400" s="4">
        <f>IF(OR(C400="",D400=""),"",C400*D400)</f>
      </c>
      <c r="F400" s="6"/>
    </row>
    <row r="401">
      <c r="A401" s="9">
        <v>398</v>
      </c>
      <c r="B401" s="7"/>
      <c r="C401" s="9"/>
      <c r="D401" s="4"/>
      <c r="E401" s="4">
        <f>IF(OR(C401="",D401=""),"",C401*D401)</f>
      </c>
      <c r="F401" s="6"/>
    </row>
    <row r="402">
      <c r="A402" s="9">
        <v>399</v>
      </c>
      <c r="B402" s="7"/>
      <c r="C402" s="9"/>
      <c r="D402" s="4"/>
      <c r="E402" s="4">
        <f>IF(OR(C402="",D402=""),"",C402*D402)</f>
      </c>
      <c r="F402" s="6"/>
    </row>
    <row r="403">
      <c r="A403" s="9">
        <v>400</v>
      </c>
      <c r="B403" s="7"/>
      <c r="C403" s="9"/>
      <c r="D403" s="4"/>
      <c r="E403" s="4">
        <f>IF(OR(C403="",D403=""),"",C403*D403)</f>
      </c>
      <c r="F403" s="6"/>
    </row>
    <row r="404">
      <c r="A404" s="9">
        <v>401</v>
      </c>
      <c r="B404" s="7"/>
      <c r="C404" s="9"/>
      <c r="D404" s="4"/>
      <c r="E404" s="4">
        <f>IF(OR(C404="",D404=""),"",C404*D404)</f>
      </c>
      <c r="F404" s="6"/>
    </row>
    <row r="405">
      <c r="A405" s="9">
        <v>402</v>
      </c>
      <c r="B405" s="7"/>
      <c r="C405" s="9"/>
      <c r="D405" s="4"/>
      <c r="E405" s="4">
        <f>IF(OR(C405="",D405=""),"",C405*D405)</f>
      </c>
      <c r="F405" s="6"/>
    </row>
    <row r="406">
      <c r="A406" s="9">
        <v>403</v>
      </c>
      <c r="B406" s="7"/>
      <c r="C406" s="9"/>
      <c r="D406" s="4"/>
      <c r="E406" s="4">
        <f>IF(OR(C406="",D406=""),"",C406*D406)</f>
      </c>
      <c r="F406" s="6"/>
    </row>
    <row r="407">
      <c r="A407" s="9">
        <v>404</v>
      </c>
      <c r="B407" s="7"/>
      <c r="C407" s="9"/>
      <c r="D407" s="4"/>
      <c r="E407" s="4">
        <f>IF(OR(C407="",D407=""),"",C407*D407)</f>
      </c>
      <c r="F407" s="6"/>
    </row>
    <row r="408">
      <c r="A408" s="9">
        <v>405</v>
      </c>
      <c r="B408" s="7"/>
      <c r="C408" s="9"/>
      <c r="D408" s="4"/>
      <c r="E408" s="4">
        <f>IF(OR(C408="",D408=""),"",C408*D408)</f>
      </c>
      <c r="F408" s="6"/>
    </row>
    <row r="409">
      <c r="A409" s="9">
        <v>406</v>
      </c>
      <c r="B409" s="7"/>
      <c r="C409" s="9"/>
      <c r="D409" s="4"/>
      <c r="E409" s="4">
        <f>IF(OR(C409="",D409=""),"",C409*D409)</f>
      </c>
      <c r="F409" s="6"/>
    </row>
    <row r="410">
      <c r="A410" s="9">
        <v>407</v>
      </c>
      <c r="B410" s="7"/>
      <c r="C410" s="9"/>
      <c r="D410" s="4"/>
      <c r="E410" s="4">
        <f>IF(OR(C410="",D410=""),"",C410*D410)</f>
      </c>
      <c r="F410" s="6"/>
    </row>
    <row r="411">
      <c r="A411" s="9">
        <v>408</v>
      </c>
      <c r="B411" s="7"/>
      <c r="C411" s="9"/>
      <c r="D411" s="4"/>
      <c r="E411" s="4">
        <f>IF(OR(C411="",D411=""),"",C411*D411)</f>
      </c>
      <c r="F411" s="6"/>
    </row>
    <row r="412">
      <c r="A412" s="9">
        <v>409</v>
      </c>
      <c r="B412" s="7"/>
      <c r="C412" s="9"/>
      <c r="D412" s="4"/>
      <c r="E412" s="4">
        <f>IF(OR(C412="",D412=""),"",C412*D412)</f>
      </c>
      <c r="F412" s="6"/>
    </row>
    <row r="413">
      <c r="A413" s="9">
        <v>410</v>
      </c>
      <c r="B413" s="7"/>
      <c r="C413" s="9"/>
      <c r="D413" s="4"/>
      <c r="E413" s="4">
        <f>IF(OR(C413="",D413=""),"",C413*D413)</f>
      </c>
      <c r="F413" s="6"/>
    </row>
    <row r="414">
      <c r="A414" s="9">
        <v>411</v>
      </c>
      <c r="B414" s="7"/>
      <c r="C414" s="9"/>
      <c r="D414" s="4"/>
      <c r="E414" s="4">
        <f>IF(OR(C414="",D414=""),"",C414*D414)</f>
      </c>
      <c r="F414" s="6"/>
    </row>
    <row r="415">
      <c r="A415" s="9">
        <v>412</v>
      </c>
      <c r="B415" s="7"/>
      <c r="C415" s="9"/>
      <c r="D415" s="4"/>
      <c r="E415" s="4">
        <f>IF(OR(C415="",D415=""),"",C415*D415)</f>
      </c>
      <c r="F415" s="6"/>
    </row>
    <row r="416">
      <c r="A416" s="9">
        <v>413</v>
      </c>
      <c r="B416" s="7"/>
      <c r="C416" s="9"/>
      <c r="D416" s="4"/>
      <c r="E416" s="4">
        <f>IF(OR(C416="",D416=""),"",C416*D416)</f>
      </c>
      <c r="F416" s="6"/>
    </row>
    <row r="417">
      <c r="A417" s="9">
        <v>414</v>
      </c>
      <c r="B417" s="7"/>
      <c r="C417" s="9"/>
      <c r="D417" s="4"/>
      <c r="E417" s="4">
        <f>IF(OR(C417="",D417=""),"",C417*D417)</f>
      </c>
      <c r="F417" s="6"/>
    </row>
    <row r="418">
      <c r="A418" s="9">
        <v>415</v>
      </c>
      <c r="B418" s="7"/>
      <c r="C418" s="9"/>
      <c r="D418" s="4"/>
      <c r="E418" s="4">
        <f>IF(OR(C418="",D418=""),"",C418*D418)</f>
      </c>
      <c r="F418" s="6"/>
    </row>
    <row r="419">
      <c r="A419" s="9">
        <v>416</v>
      </c>
      <c r="B419" s="7"/>
      <c r="C419" s="9"/>
      <c r="D419" s="4"/>
      <c r="E419" s="4">
        <f>IF(OR(C419="",D419=""),"",C419*D419)</f>
      </c>
      <c r="F419" s="6"/>
    </row>
    <row r="420">
      <c r="A420" s="9">
        <v>417</v>
      </c>
      <c r="B420" s="7"/>
      <c r="C420" s="9"/>
      <c r="D420" s="4"/>
      <c r="E420" s="4">
        <f>IF(OR(C420="",D420=""),"",C420*D420)</f>
      </c>
      <c r="F420" s="6"/>
    </row>
    <row r="421">
      <c r="A421" s="9">
        <v>418</v>
      </c>
      <c r="B421" s="7"/>
      <c r="C421" s="9"/>
      <c r="D421" s="4"/>
      <c r="E421" s="4">
        <f>IF(OR(C421="",D421=""),"",C421*D421)</f>
      </c>
      <c r="F421" s="6"/>
    </row>
    <row r="422">
      <c r="A422" s="9">
        <v>419</v>
      </c>
      <c r="B422" s="7"/>
      <c r="C422" s="9"/>
      <c r="D422" s="4"/>
      <c r="E422" s="4">
        <f>IF(OR(C422="",D422=""),"",C422*D422)</f>
      </c>
      <c r="F422" s="6"/>
    </row>
    <row r="423">
      <c r="A423" s="9">
        <v>420</v>
      </c>
      <c r="B423" s="7"/>
      <c r="C423" s="9"/>
      <c r="D423" s="4"/>
      <c r="E423" s="4">
        <f>IF(OR(C423="",D423=""),"",C423*D423)</f>
      </c>
      <c r="F423" s="6"/>
    </row>
    <row r="424">
      <c r="A424" s="9">
        <v>421</v>
      </c>
      <c r="B424" s="7"/>
      <c r="C424" s="9"/>
      <c r="D424" s="4"/>
      <c r="E424" s="4">
        <f>IF(OR(C424="",D424=""),"",C424*D424)</f>
      </c>
      <c r="F424" s="6"/>
    </row>
    <row r="425">
      <c r="A425" s="9">
        <v>422</v>
      </c>
      <c r="B425" s="7"/>
      <c r="C425" s="9"/>
      <c r="D425" s="4"/>
      <c r="E425" s="4">
        <f>IF(OR(C425="",D425=""),"",C425*D425)</f>
      </c>
      <c r="F425" s="6"/>
    </row>
    <row r="426">
      <c r="A426" s="9">
        <v>423</v>
      </c>
      <c r="B426" s="7"/>
      <c r="C426" s="9"/>
      <c r="D426" s="4"/>
      <c r="E426" s="4">
        <f>IF(OR(C426="",D426=""),"",C426*D426)</f>
      </c>
      <c r="F426" s="6"/>
    </row>
    <row r="427">
      <c r="A427" s="9">
        <v>424</v>
      </c>
      <c r="B427" s="7"/>
      <c r="C427" s="9"/>
      <c r="D427" s="4"/>
      <c r="E427" s="4">
        <f>IF(OR(C427="",D427=""),"",C427*D427)</f>
      </c>
      <c r="F427" s="6"/>
    </row>
    <row r="428">
      <c r="A428" s="9">
        <v>425</v>
      </c>
      <c r="B428" s="7"/>
      <c r="C428" s="9"/>
      <c r="D428" s="4"/>
      <c r="E428" s="4">
        <f>IF(OR(C428="",D428=""),"",C428*D428)</f>
      </c>
      <c r="F428" s="6"/>
    </row>
    <row r="429">
      <c r="A429" s="9">
        <v>426</v>
      </c>
      <c r="B429" s="7"/>
      <c r="C429" s="9"/>
      <c r="D429" s="4"/>
      <c r="E429" s="4">
        <f>IF(OR(C429="",D429=""),"",C429*D429)</f>
      </c>
      <c r="F429" s="6"/>
    </row>
    <row r="430">
      <c r="A430" s="9">
        <v>427</v>
      </c>
      <c r="B430" s="7"/>
      <c r="C430" s="9"/>
      <c r="D430" s="4"/>
      <c r="E430" s="4">
        <f>IF(OR(C430="",D430=""),"",C430*D430)</f>
      </c>
      <c r="F430" s="6"/>
    </row>
    <row r="431">
      <c r="A431" s="9">
        <v>428</v>
      </c>
      <c r="B431" s="7"/>
      <c r="C431" s="9"/>
      <c r="D431" s="4"/>
      <c r="E431" s="4">
        <f>IF(OR(C431="",D431=""),"",C431*D431)</f>
      </c>
      <c r="F431" s="6"/>
    </row>
    <row r="432">
      <c r="A432" s="9">
        <v>429</v>
      </c>
      <c r="B432" s="7"/>
      <c r="C432" s="9"/>
      <c r="D432" s="4"/>
      <c r="E432" s="4">
        <f>IF(OR(C432="",D432=""),"",C432*D432)</f>
      </c>
      <c r="F432" s="6"/>
    </row>
    <row r="433">
      <c r="A433" s="9">
        <v>430</v>
      </c>
      <c r="B433" s="7"/>
      <c r="C433" s="9"/>
      <c r="D433" s="4"/>
      <c r="E433" s="4">
        <f>IF(OR(C433="",D433=""),"",C433*D433)</f>
      </c>
      <c r="F433" s="6"/>
    </row>
    <row r="434">
      <c r="A434" s="9">
        <v>431</v>
      </c>
      <c r="B434" s="7"/>
      <c r="C434" s="9"/>
      <c r="D434" s="4"/>
      <c r="E434" s="4">
        <f>IF(OR(C434="",D434=""),"",C434*D434)</f>
      </c>
      <c r="F434" s="6"/>
    </row>
    <row r="435">
      <c r="A435" s="9">
        <v>432</v>
      </c>
      <c r="B435" s="7"/>
      <c r="C435" s="9"/>
      <c r="D435" s="4"/>
      <c r="E435" s="4">
        <f>IF(OR(C435="",D435=""),"",C435*D435)</f>
      </c>
      <c r="F435" s="6"/>
    </row>
    <row r="436">
      <c r="A436" s="9">
        <v>433</v>
      </c>
      <c r="B436" s="7"/>
      <c r="C436" s="9"/>
      <c r="D436" s="4"/>
      <c r="E436" s="4">
        <f>IF(OR(C436="",D436=""),"",C436*D436)</f>
      </c>
      <c r="F436" s="6"/>
    </row>
    <row r="437">
      <c r="A437" s="9">
        <v>434</v>
      </c>
      <c r="B437" s="7"/>
      <c r="C437" s="9"/>
      <c r="D437" s="4"/>
      <c r="E437" s="4">
        <f>IF(OR(C437="",D437=""),"",C437*D437)</f>
      </c>
      <c r="F437" s="6"/>
    </row>
    <row r="438">
      <c r="A438" s="9">
        <v>435</v>
      </c>
      <c r="B438" s="7"/>
      <c r="C438" s="9"/>
      <c r="D438" s="4"/>
      <c r="E438" s="4">
        <f>IF(OR(C438="",D438=""),"",C438*D438)</f>
      </c>
      <c r="F438" s="6"/>
    </row>
    <row r="439">
      <c r="A439" s="9">
        <v>436</v>
      </c>
      <c r="B439" s="7"/>
      <c r="C439" s="9"/>
      <c r="D439" s="4"/>
      <c r="E439" s="4">
        <f>IF(OR(C439="",D439=""),"",C439*D439)</f>
      </c>
      <c r="F439" s="6"/>
    </row>
    <row r="440">
      <c r="A440" s="9">
        <v>437</v>
      </c>
      <c r="B440" s="7"/>
      <c r="C440" s="9"/>
      <c r="D440" s="4"/>
      <c r="E440" s="4">
        <f>IF(OR(C440="",D440=""),"",C440*D440)</f>
      </c>
      <c r="F440" s="6"/>
    </row>
    <row r="441">
      <c r="A441" s="9">
        <v>438</v>
      </c>
      <c r="B441" s="7"/>
      <c r="C441" s="9"/>
      <c r="D441" s="4"/>
      <c r="E441" s="4">
        <f>IF(OR(C441="",D441=""),"",C441*D441)</f>
      </c>
      <c r="F441" s="6"/>
    </row>
    <row r="442">
      <c r="A442" s="9">
        <v>439</v>
      </c>
      <c r="B442" s="7"/>
      <c r="C442" s="9"/>
      <c r="D442" s="4"/>
      <c r="E442" s="4">
        <f>IF(OR(C442="",D442=""),"",C442*D442)</f>
      </c>
      <c r="F442" s="6"/>
    </row>
    <row r="443">
      <c r="A443" s="9">
        <v>440</v>
      </c>
      <c r="B443" s="7"/>
      <c r="C443" s="9"/>
      <c r="D443" s="4"/>
      <c r="E443" s="4">
        <f>IF(OR(C443="",D443=""),"",C443*D443)</f>
      </c>
      <c r="F443" s="6"/>
    </row>
    <row r="444">
      <c r="A444" s="9">
        <v>441</v>
      </c>
      <c r="B444" s="7"/>
      <c r="C444" s="9"/>
      <c r="D444" s="4"/>
      <c r="E444" s="4">
        <f>IF(OR(C444="",D444=""),"",C444*D444)</f>
      </c>
      <c r="F444" s="6"/>
    </row>
    <row r="445">
      <c r="A445" s="9">
        <v>442</v>
      </c>
      <c r="B445" s="7"/>
      <c r="C445" s="9"/>
      <c r="D445" s="4"/>
      <c r="E445" s="4">
        <f>IF(OR(C445="",D445=""),"",C445*D445)</f>
      </c>
      <c r="F445" s="6"/>
    </row>
    <row r="446">
      <c r="A446" s="9">
        <v>443</v>
      </c>
      <c r="B446" s="7"/>
      <c r="C446" s="9"/>
      <c r="D446" s="4"/>
      <c r="E446" s="4">
        <f>IF(OR(C446="",D446=""),"",C446*D446)</f>
      </c>
      <c r="F446" s="6"/>
    </row>
    <row r="447">
      <c r="A447" s="9">
        <v>444</v>
      </c>
      <c r="B447" s="7"/>
      <c r="C447" s="9"/>
      <c r="D447" s="4"/>
      <c r="E447" s="4">
        <f>IF(OR(C447="",D447=""),"",C447*D447)</f>
      </c>
      <c r="F447" s="6"/>
    </row>
    <row r="448">
      <c r="A448" s="9">
        <v>445</v>
      </c>
      <c r="B448" s="7"/>
      <c r="C448" s="9"/>
      <c r="D448" s="4"/>
      <c r="E448" s="4">
        <f>IF(OR(C448="",D448=""),"",C448*D448)</f>
      </c>
      <c r="F448" s="6"/>
    </row>
    <row r="449">
      <c r="A449" s="9">
        <v>446</v>
      </c>
      <c r="B449" s="7"/>
      <c r="C449" s="9"/>
      <c r="D449" s="4"/>
      <c r="E449" s="4">
        <f>IF(OR(C449="",D449=""),"",C449*D449)</f>
      </c>
      <c r="F449" s="6"/>
    </row>
    <row r="450">
      <c r="A450" s="9">
        <v>447</v>
      </c>
      <c r="B450" s="7"/>
      <c r="C450" s="9"/>
      <c r="D450" s="4"/>
      <c r="E450" s="4">
        <f>IF(OR(C450="",D450=""),"",C450*D450)</f>
      </c>
      <c r="F450" s="6"/>
    </row>
    <row r="451">
      <c r="A451" s="9">
        <v>448</v>
      </c>
      <c r="B451" s="7"/>
      <c r="C451" s="9"/>
      <c r="D451" s="4"/>
      <c r="E451" s="4">
        <f>IF(OR(C451="",D451=""),"",C451*D451)</f>
      </c>
      <c r="F451" s="6"/>
    </row>
    <row r="452">
      <c r="A452" s="9">
        <v>449</v>
      </c>
      <c r="B452" s="7"/>
      <c r="C452" s="9"/>
      <c r="D452" s="4"/>
      <c r="E452" s="4">
        <f>IF(OR(C452="",D452=""),"",C452*D452)</f>
      </c>
      <c r="F452" s="6"/>
    </row>
    <row r="453">
      <c r="A453" s="9">
        <v>450</v>
      </c>
      <c r="B453" s="7"/>
      <c r="C453" s="9"/>
      <c r="D453" s="4"/>
      <c r="E453" s="4">
        <f>IF(OR(C453="",D453=""),"",C453*D453)</f>
      </c>
      <c r="F453" s="6"/>
    </row>
    <row r="454">
      <c r="A454" s="9">
        <v>451</v>
      </c>
      <c r="B454" s="7"/>
      <c r="C454" s="9"/>
      <c r="D454" s="4"/>
      <c r="E454" s="4">
        <f>IF(OR(C454="",D454=""),"",C454*D454)</f>
      </c>
      <c r="F454" s="6"/>
    </row>
    <row r="455">
      <c r="A455" s="9">
        <v>452</v>
      </c>
      <c r="B455" s="7"/>
      <c r="C455" s="9"/>
      <c r="D455" s="4"/>
      <c r="E455" s="4">
        <f>IF(OR(C455="",D455=""),"",C455*D455)</f>
      </c>
      <c r="F455" s="6"/>
    </row>
    <row r="456">
      <c r="A456" s="9">
        <v>453</v>
      </c>
      <c r="B456" s="7"/>
      <c r="C456" s="9"/>
      <c r="D456" s="4"/>
      <c r="E456" s="4">
        <f>IF(OR(C456="",D456=""),"",C456*D456)</f>
      </c>
      <c r="F456" s="6"/>
    </row>
    <row r="457">
      <c r="A457" s="9">
        <v>454</v>
      </c>
      <c r="B457" s="7"/>
      <c r="C457" s="9"/>
      <c r="D457" s="4"/>
      <c r="E457" s="4">
        <f>IF(OR(C457="",D457=""),"",C457*D457)</f>
      </c>
      <c r="F457" s="6"/>
    </row>
    <row r="458">
      <c r="A458" s="9">
        <v>455</v>
      </c>
      <c r="B458" s="7"/>
      <c r="C458" s="9"/>
      <c r="D458" s="4"/>
      <c r="E458" s="4">
        <f>IF(OR(C458="",D458=""),"",C458*D458)</f>
      </c>
      <c r="F458" s="6"/>
    </row>
    <row r="459">
      <c r="A459" s="9">
        <v>456</v>
      </c>
      <c r="B459" s="7"/>
      <c r="C459" s="9"/>
      <c r="D459" s="4"/>
      <c r="E459" s="4">
        <f>IF(OR(C459="",D459=""),"",C459*D459)</f>
      </c>
      <c r="F459" s="6"/>
    </row>
    <row r="460">
      <c r="A460" s="9">
        <v>457</v>
      </c>
      <c r="B460" s="7"/>
      <c r="C460" s="9"/>
      <c r="D460" s="4"/>
      <c r="E460" s="4">
        <f>IF(OR(C460="",D460=""),"",C460*D460)</f>
      </c>
      <c r="F460" s="6"/>
    </row>
    <row r="461">
      <c r="A461" s="9">
        <v>458</v>
      </c>
      <c r="B461" s="7"/>
      <c r="C461" s="9"/>
      <c r="D461" s="4"/>
      <c r="E461" s="4">
        <f>IF(OR(C461="",D461=""),"",C461*D461)</f>
      </c>
      <c r="F461" s="6"/>
    </row>
    <row r="462">
      <c r="A462" s="9">
        <v>459</v>
      </c>
      <c r="B462" s="7"/>
      <c r="C462" s="9"/>
      <c r="D462" s="4"/>
      <c r="E462" s="4">
        <f>IF(OR(C462="",D462=""),"",C462*D462)</f>
      </c>
      <c r="F462" s="6"/>
    </row>
    <row r="463">
      <c r="A463" s="9">
        <v>460</v>
      </c>
      <c r="B463" s="7"/>
      <c r="C463" s="9"/>
      <c r="D463" s="4"/>
      <c r="E463" s="4">
        <f>IF(OR(C463="",D463=""),"",C463*D463)</f>
      </c>
      <c r="F463" s="6"/>
    </row>
    <row r="464">
      <c r="A464" s="9">
        <v>461</v>
      </c>
      <c r="B464" s="7"/>
      <c r="C464" s="9"/>
      <c r="D464" s="4"/>
      <c r="E464" s="4">
        <f>IF(OR(C464="",D464=""),"",C464*D464)</f>
      </c>
      <c r="F464" s="6"/>
    </row>
    <row r="465">
      <c r="A465" s="9">
        <v>462</v>
      </c>
      <c r="B465" s="7"/>
      <c r="C465" s="9"/>
      <c r="D465" s="4"/>
      <c r="E465" s="4">
        <f>IF(OR(C465="",D465=""),"",C465*D465)</f>
      </c>
      <c r="F465" s="6"/>
    </row>
    <row r="466">
      <c r="A466" s="9">
        <v>463</v>
      </c>
      <c r="B466" s="7"/>
      <c r="C466" s="9"/>
      <c r="D466" s="4"/>
      <c r="E466" s="4">
        <f>IF(OR(C466="",D466=""),"",C466*D466)</f>
      </c>
      <c r="F466" s="6"/>
    </row>
    <row r="467">
      <c r="A467" s="9">
        <v>464</v>
      </c>
      <c r="B467" s="7"/>
      <c r="C467" s="9"/>
      <c r="D467" s="4"/>
      <c r="E467" s="4">
        <f>IF(OR(C467="",D467=""),"",C467*D467)</f>
      </c>
      <c r="F467" s="6"/>
    </row>
    <row r="468">
      <c r="A468" s="9">
        <v>465</v>
      </c>
      <c r="B468" s="7"/>
      <c r="C468" s="9"/>
      <c r="D468" s="4"/>
      <c r="E468" s="4">
        <f>IF(OR(C468="",D468=""),"",C468*D468)</f>
      </c>
      <c r="F468" s="6"/>
    </row>
    <row r="469">
      <c r="A469" s="9">
        <v>466</v>
      </c>
      <c r="B469" s="7"/>
      <c r="C469" s="9"/>
      <c r="D469" s="4"/>
      <c r="E469" s="4">
        <f>IF(OR(C469="",D469=""),"",C469*D469)</f>
      </c>
      <c r="F469" s="6"/>
    </row>
    <row r="470">
      <c r="A470" s="9">
        <v>467</v>
      </c>
      <c r="B470" s="7"/>
      <c r="C470" s="9"/>
      <c r="D470" s="4"/>
      <c r="E470" s="4">
        <f>IF(OR(C470="",D470=""),"",C470*D470)</f>
      </c>
      <c r="F470" s="6"/>
    </row>
    <row r="471">
      <c r="A471" s="9">
        <v>468</v>
      </c>
      <c r="B471" s="7"/>
      <c r="C471" s="9"/>
      <c r="D471" s="4"/>
      <c r="E471" s="4">
        <f>IF(OR(C471="",D471=""),"",C471*D471)</f>
      </c>
      <c r="F471" s="6"/>
    </row>
    <row r="472">
      <c r="A472" s="9">
        <v>469</v>
      </c>
      <c r="B472" s="7"/>
      <c r="C472" s="9"/>
      <c r="D472" s="4"/>
      <c r="E472" s="4">
        <f>IF(OR(C472="",D472=""),"",C472*D472)</f>
      </c>
      <c r="F472" s="6"/>
    </row>
    <row r="473">
      <c r="A473" s="9">
        <v>470</v>
      </c>
      <c r="B473" s="7"/>
      <c r="C473" s="9"/>
      <c r="D473" s="4"/>
      <c r="E473" s="4">
        <f>IF(OR(C473="",D473=""),"",C473*D473)</f>
      </c>
      <c r="F473" s="6"/>
    </row>
    <row r="474">
      <c r="A474" s="9">
        <v>471</v>
      </c>
      <c r="B474" s="7"/>
      <c r="C474" s="9"/>
      <c r="D474" s="4"/>
      <c r="E474" s="4">
        <f>IF(OR(C474="",D474=""),"",C474*D474)</f>
      </c>
      <c r="F474" s="6"/>
    </row>
    <row r="475">
      <c r="A475" s="9">
        <v>472</v>
      </c>
      <c r="B475" s="7"/>
      <c r="C475" s="9"/>
      <c r="D475" s="4"/>
      <c r="E475" s="4">
        <f>IF(OR(C475="",D475=""),"",C475*D475)</f>
      </c>
      <c r="F475" s="6"/>
    </row>
    <row r="476">
      <c r="A476" s="9">
        <v>473</v>
      </c>
      <c r="B476" s="7"/>
      <c r="C476" s="9"/>
      <c r="D476" s="4"/>
      <c r="E476" s="4">
        <f>IF(OR(C476="",D476=""),"",C476*D476)</f>
      </c>
      <c r="F476" s="6"/>
    </row>
    <row r="477">
      <c r="A477" s="9">
        <v>474</v>
      </c>
      <c r="B477" s="7"/>
      <c r="C477" s="9"/>
      <c r="D477" s="4"/>
      <c r="E477" s="4">
        <f>IF(OR(C477="",D477=""),"",C477*D477)</f>
      </c>
      <c r="F477" s="6"/>
    </row>
    <row r="478">
      <c r="A478" s="9">
        <v>475</v>
      </c>
      <c r="B478" s="7"/>
      <c r="C478" s="9"/>
      <c r="D478" s="4"/>
      <c r="E478" s="4">
        <f>IF(OR(C478="",D478=""),"",C478*D478)</f>
      </c>
      <c r="F478" s="6"/>
    </row>
    <row r="479">
      <c r="A479" s="9">
        <v>476</v>
      </c>
      <c r="B479" s="7"/>
      <c r="C479" s="9"/>
      <c r="D479" s="4"/>
      <c r="E479" s="4">
        <f>IF(OR(C479="",D479=""),"",C479*D479)</f>
      </c>
      <c r="F479" s="6"/>
    </row>
    <row r="480">
      <c r="A480" s="9">
        <v>477</v>
      </c>
      <c r="B480" s="7"/>
      <c r="C480" s="9"/>
      <c r="D480" s="4"/>
      <c r="E480" s="4">
        <f>IF(OR(C480="",D480=""),"",C480*D480)</f>
      </c>
      <c r="F480" s="6"/>
    </row>
    <row r="481">
      <c r="A481" s="9">
        <v>478</v>
      </c>
      <c r="B481" s="7"/>
      <c r="C481" s="9"/>
      <c r="D481" s="4"/>
      <c r="E481" s="4">
        <f>IF(OR(C481="",D481=""),"",C481*D481)</f>
      </c>
      <c r="F481" s="6"/>
    </row>
    <row r="482">
      <c r="A482" s="9">
        <v>479</v>
      </c>
      <c r="B482" s="7"/>
      <c r="C482" s="9"/>
      <c r="D482" s="4"/>
      <c r="E482" s="4">
        <f>IF(OR(C482="",D482=""),"",C482*D482)</f>
      </c>
      <c r="F482" s="6"/>
    </row>
    <row r="483">
      <c r="A483" s="9">
        <v>480</v>
      </c>
      <c r="B483" s="7"/>
      <c r="C483" s="9"/>
      <c r="D483" s="4"/>
      <c r="E483" s="4">
        <f>IF(OR(C483="",D483=""),"",C483*D483)</f>
      </c>
      <c r="F483" s="6"/>
    </row>
    <row r="484">
      <c r="A484" s="9">
        <v>481</v>
      </c>
      <c r="B484" s="7"/>
      <c r="C484" s="9"/>
      <c r="D484" s="4"/>
      <c r="E484" s="4">
        <f>IF(OR(C484="",D484=""),"",C484*D484)</f>
      </c>
      <c r="F484" s="6"/>
    </row>
    <row r="485">
      <c r="A485" s="9">
        <v>482</v>
      </c>
      <c r="B485" s="7"/>
      <c r="C485" s="9"/>
      <c r="D485" s="4"/>
      <c r="E485" s="4">
        <f>IF(OR(C485="",D485=""),"",C485*D485)</f>
      </c>
      <c r="F485" s="6"/>
    </row>
    <row r="486">
      <c r="A486" s="9">
        <v>483</v>
      </c>
      <c r="B486" s="7"/>
      <c r="C486" s="9"/>
      <c r="D486" s="4"/>
      <c r="E486" s="4">
        <f>IF(OR(C486="",D486=""),"",C486*D486)</f>
      </c>
      <c r="F486" s="6"/>
    </row>
    <row r="487">
      <c r="A487" s="9">
        <v>484</v>
      </c>
      <c r="B487" s="7"/>
      <c r="C487" s="9"/>
      <c r="D487" s="4"/>
      <c r="E487" s="4">
        <f>IF(OR(C487="",D487=""),"",C487*D487)</f>
      </c>
      <c r="F487" s="6"/>
    </row>
    <row r="488">
      <c r="A488" s="9">
        <v>485</v>
      </c>
      <c r="B488" s="7"/>
      <c r="C488" s="9"/>
      <c r="D488" s="4"/>
      <c r="E488" s="4">
        <f>IF(OR(C488="",D488=""),"",C488*D488)</f>
      </c>
      <c r="F488" s="6"/>
    </row>
    <row r="489">
      <c r="A489" s="9">
        <v>486</v>
      </c>
      <c r="B489" s="7"/>
      <c r="C489" s="9"/>
      <c r="D489" s="4"/>
      <c r="E489" s="4">
        <f>IF(OR(C489="",D489=""),"",C489*D489)</f>
      </c>
      <c r="F489" s="6"/>
    </row>
    <row r="490">
      <c r="A490" s="9">
        <v>487</v>
      </c>
      <c r="B490" s="7"/>
      <c r="C490" s="9"/>
      <c r="D490" s="4"/>
      <c r="E490" s="4">
        <f>IF(OR(C490="",D490=""),"",C490*D490)</f>
      </c>
      <c r="F490" s="6"/>
    </row>
    <row r="491">
      <c r="A491" s="9">
        <v>488</v>
      </c>
      <c r="B491" s="7"/>
      <c r="C491" s="9"/>
      <c r="D491" s="4"/>
      <c r="E491" s="4">
        <f>IF(OR(C491="",D491=""),"",C491*D491)</f>
      </c>
      <c r="F491" s="6"/>
    </row>
    <row r="492">
      <c r="A492" s="9">
        <v>489</v>
      </c>
      <c r="B492" s="7"/>
      <c r="C492" s="9"/>
      <c r="D492" s="4"/>
      <c r="E492" s="4">
        <f>IF(OR(C492="",D492=""),"",C492*D492)</f>
      </c>
      <c r="F492" s="6"/>
    </row>
    <row r="493">
      <c r="A493" s="9">
        <v>490</v>
      </c>
      <c r="B493" s="7"/>
      <c r="C493" s="9"/>
      <c r="D493" s="4"/>
      <c r="E493" s="4">
        <f>IF(OR(C493="",D493=""),"",C493*D493)</f>
      </c>
      <c r="F493" s="6"/>
    </row>
    <row r="494">
      <c r="A494" s="9">
        <v>491</v>
      </c>
      <c r="B494" s="7"/>
      <c r="C494" s="9"/>
      <c r="D494" s="4"/>
      <c r="E494" s="4">
        <f>IF(OR(C494="",D494=""),"",C494*D494)</f>
      </c>
      <c r="F494" s="6"/>
    </row>
    <row r="495">
      <c r="A495" s="9">
        <v>492</v>
      </c>
      <c r="B495" s="7"/>
      <c r="C495" s="9"/>
      <c r="D495" s="4"/>
      <c r="E495" s="4">
        <f>IF(OR(C495="",D495=""),"",C495*D495)</f>
      </c>
      <c r="F495" s="6"/>
    </row>
    <row r="496">
      <c r="A496" s="9">
        <v>493</v>
      </c>
      <c r="B496" s="7"/>
      <c r="C496" s="9"/>
      <c r="D496" s="4"/>
      <c r="E496" s="4">
        <f>IF(OR(C496="",D496=""),"",C496*D496)</f>
      </c>
      <c r="F496" s="6"/>
    </row>
    <row r="497">
      <c r="A497" s="9">
        <v>494</v>
      </c>
      <c r="B497" s="7"/>
      <c r="C497" s="9"/>
      <c r="D497" s="4"/>
      <c r="E497" s="4">
        <f>IF(OR(C497="",D497=""),"",C497*D497)</f>
      </c>
      <c r="F497" s="6"/>
    </row>
    <row r="498">
      <c r="A498" s="9">
        <v>495</v>
      </c>
      <c r="B498" s="7"/>
      <c r="C498" s="9"/>
      <c r="D498" s="4"/>
      <c r="E498" s="4">
        <f>IF(OR(C498="",D498=""),"",C498*D498)</f>
      </c>
      <c r="F498" s="6"/>
    </row>
    <row r="499">
      <c r="A499" s="9">
        <v>496</v>
      </c>
      <c r="B499" s="7"/>
      <c r="C499" s="9"/>
      <c r="D499" s="4"/>
      <c r="E499" s="4">
        <f>IF(OR(C499="",D499=""),"",C499*D499)</f>
      </c>
      <c r="F499" s="6"/>
    </row>
    <row r="500">
      <c r="A500" s="9">
        <v>497</v>
      </c>
      <c r="B500" s="7"/>
      <c r="C500" s="9"/>
      <c r="D500" s="4"/>
      <c r="E500" s="4">
        <f>IF(OR(C500="",D500=""),"",C500*D500)</f>
      </c>
      <c r="F500" s="6"/>
    </row>
    <row r="501">
      <c r="A501" s="9">
        <v>498</v>
      </c>
      <c r="B501" s="7"/>
      <c r="C501" s="9"/>
      <c r="D501" s="4"/>
      <c r="E501" s="4">
        <f>IF(OR(C501="",D501=""),"",C501*D501)</f>
      </c>
      <c r="F501" s="6"/>
    </row>
    <row r="502">
      <c r="A502" s="9">
        <v>499</v>
      </c>
      <c r="B502" s="7"/>
      <c r="C502" s="9"/>
      <c r="D502" s="4"/>
      <c r="E502" s="4">
        <f>IF(OR(C502="",D502=""),"",C502*D502)</f>
      </c>
      <c r="F502" s="6"/>
    </row>
    <row r="503">
      <c r="A503" s="9">
        <v>500</v>
      </c>
      <c r="B503" s="7"/>
      <c r="C503" s="9"/>
      <c r="D503" s="4"/>
      <c r="E503" s="4">
        <f>IF(OR(C503="",D503=""),"",C503*D503)</f>
      </c>
      <c r="F503" s="6"/>
    </row>
    <row r="504">
      <c r="A504" s="2" t="s">
        <v>64</v>
      </c>
      <c r="E504" s="5">
        <f>SUM(E4:E503)</f>
      </c>
    </row>
  </sheetData>
  <mergeCells count="2">
    <mergeCell ref="A1:F1"/>
    <mergeCell ref="A504:D504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C0006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30" customWidth="1"/>
    <col min="3" max="3" width="14" customWidth="1"/>
    <col min="4" max="4" width="16" customWidth="1"/>
    <col min="5" max="5" width="16" customWidth="1"/>
    <col min="6" max="6" width="12" customWidth="1"/>
  </cols>
  <sheetData>
    <row r="1" ht="40" customHeight="1">
      <c r="A1" s="15" t="s">
        <v>91</v>
      </c>
    </row>
    <row r="2">
      <c r="A2" s="22" t="s">
        <v>96</v>
      </c>
    </row>
    <row r="3" ht="28" customHeight="1">
      <c r="A3" s="1" t="s">
        <v>77</v>
      </c>
      <c r="B3" s="1" t="s">
        <v>78</v>
      </c>
      <c r="C3" s="1" t="s">
        <v>71</v>
      </c>
      <c r="D3" s="1" t="s">
        <v>72</v>
      </c>
      <c r="E3" s="1" t="s">
        <v>73</v>
      </c>
      <c r="F3" s="1" t="s">
        <v>75</v>
      </c>
    </row>
    <row r="4">
      <c r="A4" s="9">
        <v>1</v>
      </c>
      <c r="B4" s="7"/>
      <c r="C4" s="9"/>
      <c r="D4" s="4"/>
      <c r="E4" s="4">
        <f>IF(OR(C4="",D4=""),"",C4*D4)</f>
      </c>
      <c r="F4" s="6"/>
    </row>
    <row r="5">
      <c r="A5" s="9">
        <v>2</v>
      </c>
      <c r="B5" s="7"/>
      <c r="C5" s="9"/>
      <c r="D5" s="4"/>
      <c r="E5" s="4">
        <f>IF(OR(C5="",D5=""),"",C5*D5)</f>
      </c>
      <c r="F5" s="6"/>
    </row>
    <row r="6">
      <c r="A6" s="9">
        <v>3</v>
      </c>
      <c r="B6" s="7"/>
      <c r="C6" s="9"/>
      <c r="D6" s="4"/>
      <c r="E6" s="4">
        <f>IF(OR(C6="",D6=""),"",C6*D6)</f>
      </c>
      <c r="F6" s="6"/>
    </row>
    <row r="7">
      <c r="A7" s="9">
        <v>4</v>
      </c>
      <c r="B7" s="7"/>
      <c r="C7" s="9"/>
      <c r="D7" s="4"/>
      <c r="E7" s="4">
        <f>IF(OR(C7="",D7=""),"",C7*D7)</f>
      </c>
      <c r="F7" s="6"/>
    </row>
    <row r="8">
      <c r="A8" s="9">
        <v>5</v>
      </c>
      <c r="B8" s="7"/>
      <c r="C8" s="9"/>
      <c r="D8" s="4"/>
      <c r="E8" s="4">
        <f>IF(OR(C8="",D8=""),"",C8*D8)</f>
      </c>
      <c r="F8" s="6"/>
    </row>
    <row r="9">
      <c r="A9" s="9">
        <v>6</v>
      </c>
      <c r="B9" s="7"/>
      <c r="C9" s="9"/>
      <c r="D9" s="4"/>
      <c r="E9" s="4">
        <f>IF(OR(C9="",D9=""),"",C9*D9)</f>
      </c>
      <c r="F9" s="6"/>
    </row>
    <row r="10">
      <c r="A10" s="9">
        <v>7</v>
      </c>
      <c r="B10" s="7"/>
      <c r="C10" s="9"/>
      <c r="D10" s="4"/>
      <c r="E10" s="4">
        <f>IF(OR(C10="",D10=""),"",C10*D10)</f>
      </c>
      <c r="F10" s="6"/>
    </row>
    <row r="11">
      <c r="A11" s="9">
        <v>8</v>
      </c>
      <c r="B11" s="7"/>
      <c r="C11" s="9"/>
      <c r="D11" s="4"/>
      <c r="E11" s="4">
        <f>IF(OR(C11="",D11=""),"",C11*D11)</f>
      </c>
      <c r="F11" s="6"/>
    </row>
    <row r="12">
      <c r="A12" s="9">
        <v>9</v>
      </c>
      <c r="B12" s="7"/>
      <c r="C12" s="9"/>
      <c r="D12" s="4"/>
      <c r="E12" s="4">
        <f>IF(OR(C12="",D12=""),"",C12*D12)</f>
      </c>
      <c r="F12" s="6"/>
    </row>
    <row r="13">
      <c r="A13" s="9">
        <v>10</v>
      </c>
      <c r="B13" s="7"/>
      <c r="C13" s="9"/>
      <c r="D13" s="4"/>
      <c r="E13" s="4">
        <f>IF(OR(C13="",D13=""),"",C13*D13)</f>
      </c>
      <c r="F13" s="6"/>
    </row>
    <row r="14">
      <c r="A14" s="9">
        <v>11</v>
      </c>
      <c r="B14" s="7"/>
      <c r="C14" s="9"/>
      <c r="D14" s="4"/>
      <c r="E14" s="4">
        <f>IF(OR(C14="",D14=""),"",C14*D14)</f>
      </c>
      <c r="F14" s="6"/>
    </row>
    <row r="15">
      <c r="A15" s="9">
        <v>12</v>
      </c>
      <c r="B15" s="7"/>
      <c r="C15" s="9"/>
      <c r="D15" s="4"/>
      <c r="E15" s="4">
        <f>IF(OR(C15="",D15=""),"",C15*D15)</f>
      </c>
      <c r="F15" s="6"/>
    </row>
    <row r="16">
      <c r="A16" s="9">
        <v>13</v>
      </c>
      <c r="B16" s="7"/>
      <c r="C16" s="9"/>
      <c r="D16" s="4"/>
      <c r="E16" s="4">
        <f>IF(OR(C16="",D16=""),"",C16*D16)</f>
      </c>
      <c r="F16" s="6"/>
    </row>
    <row r="17">
      <c r="A17" s="9">
        <v>14</v>
      </c>
      <c r="B17" s="7"/>
      <c r="C17" s="9"/>
      <c r="D17" s="4"/>
      <c r="E17" s="4">
        <f>IF(OR(C17="",D17=""),"",C17*D17)</f>
      </c>
      <c r="F17" s="6"/>
    </row>
    <row r="18">
      <c r="A18" s="9">
        <v>15</v>
      </c>
      <c r="B18" s="7"/>
      <c r="C18" s="9"/>
      <c r="D18" s="4"/>
      <c r="E18" s="4">
        <f>IF(OR(C18="",D18=""),"",C18*D18)</f>
      </c>
      <c r="F18" s="6"/>
    </row>
    <row r="19">
      <c r="A19" s="9">
        <v>16</v>
      </c>
      <c r="B19" s="7"/>
      <c r="C19" s="9"/>
      <c r="D19" s="4"/>
      <c r="E19" s="4">
        <f>IF(OR(C19="",D19=""),"",C19*D19)</f>
      </c>
      <c r="F19" s="6"/>
    </row>
    <row r="20">
      <c r="A20" s="9">
        <v>17</v>
      </c>
      <c r="B20" s="7"/>
      <c r="C20" s="9"/>
      <c r="D20" s="4"/>
      <c r="E20" s="4">
        <f>IF(OR(C20="",D20=""),"",C20*D20)</f>
      </c>
      <c r="F20" s="6"/>
    </row>
    <row r="21">
      <c r="A21" s="9">
        <v>18</v>
      </c>
      <c r="B21" s="7"/>
      <c r="C21" s="9"/>
      <c r="D21" s="4"/>
      <c r="E21" s="4">
        <f>IF(OR(C21="",D21=""),"",C21*D21)</f>
      </c>
      <c r="F21" s="6"/>
    </row>
    <row r="22">
      <c r="A22" s="9">
        <v>19</v>
      </c>
      <c r="B22" s="7"/>
      <c r="C22" s="9"/>
      <c r="D22" s="4"/>
      <c r="E22" s="4">
        <f>IF(OR(C22="",D22=""),"",C22*D22)</f>
      </c>
      <c r="F22" s="6"/>
    </row>
    <row r="23">
      <c r="A23" s="9">
        <v>20</v>
      </c>
      <c r="B23" s="7"/>
      <c r="C23" s="9"/>
      <c r="D23" s="4"/>
      <c r="E23" s="4">
        <f>IF(OR(C23="",D23=""),"",C23*D23)</f>
      </c>
      <c r="F23" s="6"/>
    </row>
    <row r="24">
      <c r="A24" s="9">
        <v>21</v>
      </c>
      <c r="B24" s="7"/>
      <c r="C24" s="9"/>
      <c r="D24" s="4"/>
      <c r="E24" s="4">
        <f>IF(OR(C24="",D24=""),"",C24*D24)</f>
      </c>
      <c r="F24" s="6"/>
    </row>
    <row r="25">
      <c r="A25" s="9">
        <v>22</v>
      </c>
      <c r="B25" s="7"/>
      <c r="C25" s="9"/>
      <c r="D25" s="4"/>
      <c r="E25" s="4">
        <f>IF(OR(C25="",D25=""),"",C25*D25)</f>
      </c>
      <c r="F25" s="6"/>
    </row>
    <row r="26">
      <c r="A26" s="9">
        <v>23</v>
      </c>
      <c r="B26" s="7"/>
      <c r="C26" s="9"/>
      <c r="D26" s="4"/>
      <c r="E26" s="4">
        <f>IF(OR(C26="",D26=""),"",C26*D26)</f>
      </c>
      <c r="F26" s="6"/>
    </row>
    <row r="27">
      <c r="A27" s="9">
        <v>24</v>
      </c>
      <c r="B27" s="7"/>
      <c r="C27" s="9"/>
      <c r="D27" s="4"/>
      <c r="E27" s="4">
        <f>IF(OR(C27="",D27=""),"",C27*D27)</f>
      </c>
      <c r="F27" s="6"/>
    </row>
    <row r="28">
      <c r="A28" s="9">
        <v>25</v>
      </c>
      <c r="B28" s="7"/>
      <c r="C28" s="9"/>
      <c r="D28" s="4"/>
      <c r="E28" s="4">
        <f>IF(OR(C28="",D28=""),"",C28*D28)</f>
      </c>
      <c r="F28" s="6"/>
    </row>
    <row r="29">
      <c r="A29" s="9">
        <v>26</v>
      </c>
      <c r="B29" s="7"/>
      <c r="C29" s="9"/>
      <c r="D29" s="4"/>
      <c r="E29" s="4">
        <f>IF(OR(C29="",D29=""),"",C29*D29)</f>
      </c>
      <c r="F29" s="6"/>
    </row>
    <row r="30">
      <c r="A30" s="9">
        <v>27</v>
      </c>
      <c r="B30" s="7"/>
      <c r="C30" s="9"/>
      <c r="D30" s="4"/>
      <c r="E30" s="4">
        <f>IF(OR(C30="",D30=""),"",C30*D30)</f>
      </c>
      <c r="F30" s="6"/>
    </row>
    <row r="31">
      <c r="A31" s="9">
        <v>28</v>
      </c>
      <c r="B31" s="7"/>
      <c r="C31" s="9"/>
      <c r="D31" s="4"/>
      <c r="E31" s="4">
        <f>IF(OR(C31="",D31=""),"",C31*D31)</f>
      </c>
      <c r="F31" s="6"/>
    </row>
    <row r="32">
      <c r="A32" s="9">
        <v>29</v>
      </c>
      <c r="B32" s="7"/>
      <c r="C32" s="9"/>
      <c r="D32" s="4"/>
      <c r="E32" s="4">
        <f>IF(OR(C32="",D32=""),"",C32*D32)</f>
      </c>
      <c r="F32" s="6"/>
    </row>
    <row r="33">
      <c r="A33" s="9">
        <v>30</v>
      </c>
      <c r="B33" s="7"/>
      <c r="C33" s="9"/>
      <c r="D33" s="4"/>
      <c r="E33" s="4">
        <f>IF(OR(C33="",D33=""),"",C33*D33)</f>
      </c>
      <c r="F33" s="6"/>
    </row>
    <row r="34">
      <c r="A34" s="9">
        <v>31</v>
      </c>
      <c r="B34" s="7"/>
      <c r="C34" s="9"/>
      <c r="D34" s="4"/>
      <c r="E34" s="4">
        <f>IF(OR(C34="",D34=""),"",C34*D34)</f>
      </c>
      <c r="F34" s="6"/>
    </row>
    <row r="35">
      <c r="A35" s="9">
        <v>32</v>
      </c>
      <c r="B35" s="7"/>
      <c r="C35" s="9"/>
      <c r="D35" s="4"/>
      <c r="E35" s="4">
        <f>IF(OR(C35="",D35=""),"",C35*D35)</f>
      </c>
      <c r="F35" s="6"/>
    </row>
    <row r="36">
      <c r="A36" s="9">
        <v>33</v>
      </c>
      <c r="B36" s="7"/>
      <c r="C36" s="9"/>
      <c r="D36" s="4"/>
      <c r="E36" s="4">
        <f>IF(OR(C36="",D36=""),"",C36*D36)</f>
      </c>
      <c r="F36" s="6"/>
    </row>
    <row r="37">
      <c r="A37" s="9">
        <v>34</v>
      </c>
      <c r="B37" s="7"/>
      <c r="C37" s="9"/>
      <c r="D37" s="4"/>
      <c r="E37" s="4">
        <f>IF(OR(C37="",D37=""),"",C37*D37)</f>
      </c>
      <c r="F37" s="6"/>
    </row>
    <row r="38">
      <c r="A38" s="9">
        <v>35</v>
      </c>
      <c r="B38" s="7"/>
      <c r="C38" s="9"/>
      <c r="D38" s="4"/>
      <c r="E38" s="4">
        <f>IF(OR(C38="",D38=""),"",C38*D38)</f>
      </c>
      <c r="F38" s="6"/>
    </row>
    <row r="39">
      <c r="A39" s="9">
        <v>36</v>
      </c>
      <c r="B39" s="7"/>
      <c r="C39" s="9"/>
      <c r="D39" s="4"/>
      <c r="E39" s="4">
        <f>IF(OR(C39="",D39=""),"",C39*D39)</f>
      </c>
      <c r="F39" s="6"/>
    </row>
    <row r="40">
      <c r="A40" s="9">
        <v>37</v>
      </c>
      <c r="B40" s="7"/>
      <c r="C40" s="9"/>
      <c r="D40" s="4"/>
      <c r="E40" s="4">
        <f>IF(OR(C40="",D40=""),"",C40*D40)</f>
      </c>
      <c r="F40" s="6"/>
    </row>
    <row r="41">
      <c r="A41" s="9">
        <v>38</v>
      </c>
      <c r="B41" s="7"/>
      <c r="C41" s="9"/>
      <c r="D41" s="4"/>
      <c r="E41" s="4">
        <f>IF(OR(C41="",D41=""),"",C41*D41)</f>
      </c>
      <c r="F41" s="6"/>
    </row>
    <row r="42">
      <c r="A42" s="9">
        <v>39</v>
      </c>
      <c r="B42" s="7"/>
      <c r="C42" s="9"/>
      <c r="D42" s="4"/>
      <c r="E42" s="4">
        <f>IF(OR(C42="",D42=""),"",C42*D42)</f>
      </c>
      <c r="F42" s="6"/>
    </row>
    <row r="43">
      <c r="A43" s="9">
        <v>40</v>
      </c>
      <c r="B43" s="7"/>
      <c r="C43" s="9"/>
      <c r="D43" s="4"/>
      <c r="E43" s="4">
        <f>IF(OR(C43="",D43=""),"",C43*D43)</f>
      </c>
      <c r="F43" s="6"/>
    </row>
    <row r="44">
      <c r="A44" s="9">
        <v>41</v>
      </c>
      <c r="B44" s="7"/>
      <c r="C44" s="9"/>
      <c r="D44" s="4"/>
      <c r="E44" s="4">
        <f>IF(OR(C44="",D44=""),"",C44*D44)</f>
      </c>
      <c r="F44" s="6"/>
    </row>
    <row r="45">
      <c r="A45" s="9">
        <v>42</v>
      </c>
      <c r="B45" s="7"/>
      <c r="C45" s="9"/>
      <c r="D45" s="4"/>
      <c r="E45" s="4">
        <f>IF(OR(C45="",D45=""),"",C45*D45)</f>
      </c>
      <c r="F45" s="6"/>
    </row>
    <row r="46">
      <c r="A46" s="9">
        <v>43</v>
      </c>
      <c r="B46" s="7"/>
      <c r="C46" s="9"/>
      <c r="D46" s="4"/>
      <c r="E46" s="4">
        <f>IF(OR(C46="",D46=""),"",C46*D46)</f>
      </c>
      <c r="F46" s="6"/>
    </row>
    <row r="47">
      <c r="A47" s="9">
        <v>44</v>
      </c>
      <c r="B47" s="7"/>
      <c r="C47" s="9"/>
      <c r="D47" s="4"/>
      <c r="E47" s="4">
        <f>IF(OR(C47="",D47=""),"",C47*D47)</f>
      </c>
      <c r="F47" s="6"/>
    </row>
    <row r="48">
      <c r="A48" s="9">
        <v>45</v>
      </c>
      <c r="B48" s="7"/>
      <c r="C48" s="9"/>
      <c r="D48" s="4"/>
      <c r="E48" s="4">
        <f>IF(OR(C48="",D48=""),"",C48*D48)</f>
      </c>
      <c r="F48" s="6"/>
    </row>
    <row r="49">
      <c r="A49" s="9">
        <v>46</v>
      </c>
      <c r="B49" s="7"/>
      <c r="C49" s="9"/>
      <c r="D49" s="4"/>
      <c r="E49" s="4">
        <f>IF(OR(C49="",D49=""),"",C49*D49)</f>
      </c>
      <c r="F49" s="6"/>
    </row>
    <row r="50">
      <c r="A50" s="9">
        <v>47</v>
      </c>
      <c r="B50" s="7"/>
      <c r="C50" s="9"/>
      <c r="D50" s="4"/>
      <c r="E50" s="4">
        <f>IF(OR(C50="",D50=""),"",C50*D50)</f>
      </c>
      <c r="F50" s="6"/>
    </row>
    <row r="51">
      <c r="A51" s="9">
        <v>48</v>
      </c>
      <c r="B51" s="7"/>
      <c r="C51" s="9"/>
      <c r="D51" s="4"/>
      <c r="E51" s="4">
        <f>IF(OR(C51="",D51=""),"",C51*D51)</f>
      </c>
      <c r="F51" s="6"/>
    </row>
    <row r="52">
      <c r="A52" s="9">
        <v>49</v>
      </c>
      <c r="B52" s="7"/>
      <c r="C52" s="9"/>
      <c r="D52" s="4"/>
      <c r="E52" s="4">
        <f>IF(OR(C52="",D52=""),"",C52*D52)</f>
      </c>
      <c r="F52" s="6"/>
    </row>
    <row r="53">
      <c r="A53" s="9">
        <v>50</v>
      </c>
      <c r="B53" s="7"/>
      <c r="C53" s="9"/>
      <c r="D53" s="4"/>
      <c r="E53" s="4">
        <f>IF(OR(C53="",D53=""),"",C53*D53)</f>
      </c>
      <c r="F53" s="6"/>
    </row>
    <row r="54">
      <c r="A54" s="9">
        <v>51</v>
      </c>
      <c r="B54" s="7"/>
      <c r="C54" s="9"/>
      <c r="D54" s="4"/>
      <c r="E54" s="4">
        <f>IF(OR(C54="",D54=""),"",C54*D54)</f>
      </c>
      <c r="F54" s="6"/>
    </row>
    <row r="55">
      <c r="A55" s="9">
        <v>52</v>
      </c>
      <c r="B55" s="7"/>
      <c r="C55" s="9"/>
      <c r="D55" s="4"/>
      <c r="E55" s="4">
        <f>IF(OR(C55="",D55=""),"",C55*D55)</f>
      </c>
      <c r="F55" s="6"/>
    </row>
    <row r="56">
      <c r="A56" s="9">
        <v>53</v>
      </c>
      <c r="B56" s="7"/>
      <c r="C56" s="9"/>
      <c r="D56" s="4"/>
      <c r="E56" s="4">
        <f>IF(OR(C56="",D56=""),"",C56*D56)</f>
      </c>
      <c r="F56" s="6"/>
    </row>
    <row r="57">
      <c r="A57" s="9">
        <v>54</v>
      </c>
      <c r="B57" s="7"/>
      <c r="C57" s="9"/>
      <c r="D57" s="4"/>
      <c r="E57" s="4">
        <f>IF(OR(C57="",D57=""),"",C57*D57)</f>
      </c>
      <c r="F57" s="6"/>
    </row>
    <row r="58">
      <c r="A58" s="9">
        <v>55</v>
      </c>
      <c r="B58" s="7"/>
      <c r="C58" s="9"/>
      <c r="D58" s="4"/>
      <c r="E58" s="4">
        <f>IF(OR(C58="",D58=""),"",C58*D58)</f>
      </c>
      <c r="F58" s="6"/>
    </row>
    <row r="59">
      <c r="A59" s="9">
        <v>56</v>
      </c>
      <c r="B59" s="7"/>
      <c r="C59" s="9"/>
      <c r="D59" s="4"/>
      <c r="E59" s="4">
        <f>IF(OR(C59="",D59=""),"",C59*D59)</f>
      </c>
      <c r="F59" s="6"/>
    </row>
    <row r="60">
      <c r="A60" s="9">
        <v>57</v>
      </c>
      <c r="B60" s="7"/>
      <c r="C60" s="9"/>
      <c r="D60" s="4"/>
      <c r="E60" s="4">
        <f>IF(OR(C60="",D60=""),"",C60*D60)</f>
      </c>
      <c r="F60" s="6"/>
    </row>
    <row r="61">
      <c r="A61" s="9">
        <v>58</v>
      </c>
      <c r="B61" s="7"/>
      <c r="C61" s="9"/>
      <c r="D61" s="4"/>
      <c r="E61" s="4">
        <f>IF(OR(C61="",D61=""),"",C61*D61)</f>
      </c>
      <c r="F61" s="6"/>
    </row>
    <row r="62">
      <c r="A62" s="9">
        <v>59</v>
      </c>
      <c r="B62" s="7"/>
      <c r="C62" s="9"/>
      <c r="D62" s="4"/>
      <c r="E62" s="4">
        <f>IF(OR(C62="",D62=""),"",C62*D62)</f>
      </c>
      <c r="F62" s="6"/>
    </row>
    <row r="63">
      <c r="A63" s="9">
        <v>60</v>
      </c>
      <c r="B63" s="7"/>
      <c r="C63" s="9"/>
      <c r="D63" s="4"/>
      <c r="E63" s="4">
        <f>IF(OR(C63="",D63=""),"",C63*D63)</f>
      </c>
      <c r="F63" s="6"/>
    </row>
    <row r="64">
      <c r="A64" s="9">
        <v>61</v>
      </c>
      <c r="B64" s="7"/>
      <c r="C64" s="9"/>
      <c r="D64" s="4"/>
      <c r="E64" s="4">
        <f>IF(OR(C64="",D64=""),"",C64*D64)</f>
      </c>
      <c r="F64" s="6"/>
    </row>
    <row r="65">
      <c r="A65" s="9">
        <v>62</v>
      </c>
      <c r="B65" s="7"/>
      <c r="C65" s="9"/>
      <c r="D65" s="4"/>
      <c r="E65" s="4">
        <f>IF(OR(C65="",D65=""),"",C65*D65)</f>
      </c>
      <c r="F65" s="6"/>
    </row>
    <row r="66">
      <c r="A66" s="9">
        <v>63</v>
      </c>
      <c r="B66" s="7"/>
      <c r="C66" s="9"/>
      <c r="D66" s="4"/>
      <c r="E66" s="4">
        <f>IF(OR(C66="",D66=""),"",C66*D66)</f>
      </c>
      <c r="F66" s="6"/>
    </row>
    <row r="67">
      <c r="A67" s="9">
        <v>64</v>
      </c>
      <c r="B67" s="7"/>
      <c r="C67" s="9"/>
      <c r="D67" s="4"/>
      <c r="E67" s="4">
        <f>IF(OR(C67="",D67=""),"",C67*D67)</f>
      </c>
      <c r="F67" s="6"/>
    </row>
    <row r="68">
      <c r="A68" s="9">
        <v>65</v>
      </c>
      <c r="B68" s="7"/>
      <c r="C68" s="9"/>
      <c r="D68" s="4"/>
      <c r="E68" s="4">
        <f>IF(OR(C68="",D68=""),"",C68*D68)</f>
      </c>
      <c r="F68" s="6"/>
    </row>
    <row r="69">
      <c r="A69" s="9">
        <v>66</v>
      </c>
      <c r="B69" s="7"/>
      <c r="C69" s="9"/>
      <c r="D69" s="4"/>
      <c r="E69" s="4">
        <f>IF(OR(C69="",D69=""),"",C69*D69)</f>
      </c>
      <c r="F69" s="6"/>
    </row>
    <row r="70">
      <c r="A70" s="9">
        <v>67</v>
      </c>
      <c r="B70" s="7"/>
      <c r="C70" s="9"/>
      <c r="D70" s="4"/>
      <c r="E70" s="4">
        <f>IF(OR(C70="",D70=""),"",C70*D70)</f>
      </c>
      <c r="F70" s="6"/>
    </row>
    <row r="71">
      <c r="A71" s="9">
        <v>68</v>
      </c>
      <c r="B71" s="7"/>
      <c r="C71" s="9"/>
      <c r="D71" s="4"/>
      <c r="E71" s="4">
        <f>IF(OR(C71="",D71=""),"",C71*D71)</f>
      </c>
      <c r="F71" s="6"/>
    </row>
    <row r="72">
      <c r="A72" s="9">
        <v>69</v>
      </c>
      <c r="B72" s="7"/>
      <c r="C72" s="9"/>
      <c r="D72" s="4"/>
      <c r="E72" s="4">
        <f>IF(OR(C72="",D72=""),"",C72*D72)</f>
      </c>
      <c r="F72" s="6"/>
    </row>
    <row r="73">
      <c r="A73" s="9">
        <v>70</v>
      </c>
      <c r="B73" s="7"/>
      <c r="C73" s="9"/>
      <c r="D73" s="4"/>
      <c r="E73" s="4">
        <f>IF(OR(C73="",D73=""),"",C73*D73)</f>
      </c>
      <c r="F73" s="6"/>
    </row>
    <row r="74">
      <c r="A74" s="9">
        <v>71</v>
      </c>
      <c r="B74" s="7"/>
      <c r="C74" s="9"/>
      <c r="D74" s="4"/>
      <c r="E74" s="4">
        <f>IF(OR(C74="",D74=""),"",C74*D74)</f>
      </c>
      <c r="F74" s="6"/>
    </row>
    <row r="75">
      <c r="A75" s="9">
        <v>72</v>
      </c>
      <c r="B75" s="7"/>
      <c r="C75" s="9"/>
      <c r="D75" s="4"/>
      <c r="E75" s="4">
        <f>IF(OR(C75="",D75=""),"",C75*D75)</f>
      </c>
      <c r="F75" s="6"/>
    </row>
    <row r="76">
      <c r="A76" s="9">
        <v>73</v>
      </c>
      <c r="B76" s="7"/>
      <c r="C76" s="9"/>
      <c r="D76" s="4"/>
      <c r="E76" s="4">
        <f>IF(OR(C76="",D76=""),"",C76*D76)</f>
      </c>
      <c r="F76" s="6"/>
    </row>
    <row r="77">
      <c r="A77" s="9">
        <v>74</v>
      </c>
      <c r="B77" s="7"/>
      <c r="C77" s="9"/>
      <c r="D77" s="4"/>
      <c r="E77" s="4">
        <f>IF(OR(C77="",D77=""),"",C77*D77)</f>
      </c>
      <c r="F77" s="6"/>
    </row>
    <row r="78">
      <c r="A78" s="9">
        <v>75</v>
      </c>
      <c r="B78" s="7"/>
      <c r="C78" s="9"/>
      <c r="D78" s="4"/>
      <c r="E78" s="4">
        <f>IF(OR(C78="",D78=""),"",C78*D78)</f>
      </c>
      <c r="F78" s="6"/>
    </row>
    <row r="79">
      <c r="A79" s="9">
        <v>76</v>
      </c>
      <c r="B79" s="7"/>
      <c r="C79" s="9"/>
      <c r="D79" s="4"/>
      <c r="E79" s="4">
        <f>IF(OR(C79="",D79=""),"",C79*D79)</f>
      </c>
      <c r="F79" s="6"/>
    </row>
    <row r="80">
      <c r="A80" s="9">
        <v>77</v>
      </c>
      <c r="B80" s="7"/>
      <c r="C80" s="9"/>
      <c r="D80" s="4"/>
      <c r="E80" s="4">
        <f>IF(OR(C80="",D80=""),"",C80*D80)</f>
      </c>
      <c r="F80" s="6"/>
    </row>
    <row r="81">
      <c r="A81" s="9">
        <v>78</v>
      </c>
      <c r="B81" s="7"/>
      <c r="C81" s="9"/>
      <c r="D81" s="4"/>
      <c r="E81" s="4">
        <f>IF(OR(C81="",D81=""),"",C81*D81)</f>
      </c>
      <c r="F81" s="6"/>
    </row>
    <row r="82">
      <c r="A82" s="9">
        <v>79</v>
      </c>
      <c r="B82" s="7"/>
      <c r="C82" s="9"/>
      <c r="D82" s="4"/>
      <c r="E82" s="4">
        <f>IF(OR(C82="",D82=""),"",C82*D82)</f>
      </c>
      <c r="F82" s="6"/>
    </row>
    <row r="83">
      <c r="A83" s="9">
        <v>80</v>
      </c>
      <c r="B83" s="7"/>
      <c r="C83" s="9"/>
      <c r="D83" s="4"/>
      <c r="E83" s="4">
        <f>IF(OR(C83="",D83=""),"",C83*D83)</f>
      </c>
      <c r="F83" s="6"/>
    </row>
    <row r="84">
      <c r="A84" s="9">
        <v>81</v>
      </c>
      <c r="B84" s="7"/>
      <c r="C84" s="9"/>
      <c r="D84" s="4"/>
      <c r="E84" s="4">
        <f>IF(OR(C84="",D84=""),"",C84*D84)</f>
      </c>
      <c r="F84" s="6"/>
    </row>
    <row r="85">
      <c r="A85" s="9">
        <v>82</v>
      </c>
      <c r="B85" s="7"/>
      <c r="C85" s="9"/>
      <c r="D85" s="4"/>
      <c r="E85" s="4">
        <f>IF(OR(C85="",D85=""),"",C85*D85)</f>
      </c>
      <c r="F85" s="6"/>
    </row>
    <row r="86">
      <c r="A86" s="9">
        <v>83</v>
      </c>
      <c r="B86" s="7"/>
      <c r="C86" s="9"/>
      <c r="D86" s="4"/>
      <c r="E86" s="4">
        <f>IF(OR(C86="",D86=""),"",C86*D86)</f>
      </c>
      <c r="F86" s="6"/>
    </row>
    <row r="87">
      <c r="A87" s="9">
        <v>84</v>
      </c>
      <c r="B87" s="7"/>
      <c r="C87" s="9"/>
      <c r="D87" s="4"/>
      <c r="E87" s="4">
        <f>IF(OR(C87="",D87=""),"",C87*D87)</f>
      </c>
      <c r="F87" s="6"/>
    </row>
    <row r="88">
      <c r="A88" s="9">
        <v>85</v>
      </c>
      <c r="B88" s="7"/>
      <c r="C88" s="9"/>
      <c r="D88" s="4"/>
      <c r="E88" s="4">
        <f>IF(OR(C88="",D88=""),"",C88*D88)</f>
      </c>
      <c r="F88" s="6"/>
    </row>
    <row r="89">
      <c r="A89" s="9">
        <v>86</v>
      </c>
      <c r="B89" s="7"/>
      <c r="C89" s="9"/>
      <c r="D89" s="4"/>
      <c r="E89" s="4">
        <f>IF(OR(C89="",D89=""),"",C89*D89)</f>
      </c>
      <c r="F89" s="6"/>
    </row>
    <row r="90">
      <c r="A90" s="9">
        <v>87</v>
      </c>
      <c r="B90" s="7"/>
      <c r="C90" s="9"/>
      <c r="D90" s="4"/>
      <c r="E90" s="4">
        <f>IF(OR(C90="",D90=""),"",C90*D90)</f>
      </c>
      <c r="F90" s="6"/>
    </row>
    <row r="91">
      <c r="A91" s="9">
        <v>88</v>
      </c>
      <c r="B91" s="7"/>
      <c r="C91" s="9"/>
      <c r="D91" s="4"/>
      <c r="E91" s="4">
        <f>IF(OR(C91="",D91=""),"",C91*D91)</f>
      </c>
      <c r="F91" s="6"/>
    </row>
    <row r="92">
      <c r="A92" s="9">
        <v>89</v>
      </c>
      <c r="B92" s="7"/>
      <c r="C92" s="9"/>
      <c r="D92" s="4"/>
      <c r="E92" s="4">
        <f>IF(OR(C92="",D92=""),"",C92*D92)</f>
      </c>
      <c r="F92" s="6"/>
    </row>
    <row r="93">
      <c r="A93" s="9">
        <v>90</v>
      </c>
      <c r="B93" s="7"/>
      <c r="C93" s="9"/>
      <c r="D93" s="4"/>
      <c r="E93" s="4">
        <f>IF(OR(C93="",D93=""),"",C93*D93)</f>
      </c>
      <c r="F93" s="6"/>
    </row>
    <row r="94">
      <c r="A94" s="9">
        <v>91</v>
      </c>
      <c r="B94" s="7"/>
      <c r="C94" s="9"/>
      <c r="D94" s="4"/>
      <c r="E94" s="4">
        <f>IF(OR(C94="",D94=""),"",C94*D94)</f>
      </c>
      <c r="F94" s="6"/>
    </row>
    <row r="95">
      <c r="A95" s="9">
        <v>92</v>
      </c>
      <c r="B95" s="7"/>
      <c r="C95" s="9"/>
      <c r="D95" s="4"/>
      <c r="E95" s="4">
        <f>IF(OR(C95="",D95=""),"",C95*D95)</f>
      </c>
      <c r="F95" s="6"/>
    </row>
    <row r="96">
      <c r="A96" s="9">
        <v>93</v>
      </c>
      <c r="B96" s="7"/>
      <c r="C96" s="9"/>
      <c r="D96" s="4"/>
      <c r="E96" s="4">
        <f>IF(OR(C96="",D96=""),"",C96*D96)</f>
      </c>
      <c r="F96" s="6"/>
    </row>
    <row r="97">
      <c r="A97" s="9">
        <v>94</v>
      </c>
      <c r="B97" s="7"/>
      <c r="C97" s="9"/>
      <c r="D97" s="4"/>
      <c r="E97" s="4">
        <f>IF(OR(C97="",D97=""),"",C97*D97)</f>
      </c>
      <c r="F97" s="6"/>
    </row>
    <row r="98">
      <c r="A98" s="9">
        <v>95</v>
      </c>
      <c r="B98" s="7"/>
      <c r="C98" s="9"/>
      <c r="D98" s="4"/>
      <c r="E98" s="4">
        <f>IF(OR(C98="",D98=""),"",C98*D98)</f>
      </c>
      <c r="F98" s="6"/>
    </row>
    <row r="99">
      <c r="A99" s="9">
        <v>96</v>
      </c>
      <c r="B99" s="7"/>
      <c r="C99" s="9"/>
      <c r="D99" s="4"/>
      <c r="E99" s="4">
        <f>IF(OR(C99="",D99=""),"",C99*D99)</f>
      </c>
      <c r="F99" s="6"/>
    </row>
    <row r="100">
      <c r="A100" s="9">
        <v>97</v>
      </c>
      <c r="B100" s="7"/>
      <c r="C100" s="9"/>
      <c r="D100" s="4"/>
      <c r="E100" s="4">
        <f>IF(OR(C100="",D100=""),"",C100*D100)</f>
      </c>
      <c r="F100" s="6"/>
    </row>
    <row r="101">
      <c r="A101" s="9">
        <v>98</v>
      </c>
      <c r="B101" s="7"/>
      <c r="C101" s="9"/>
      <c r="D101" s="4"/>
      <c r="E101" s="4">
        <f>IF(OR(C101="",D101=""),"",C101*D101)</f>
      </c>
      <c r="F101" s="6"/>
    </row>
    <row r="102">
      <c r="A102" s="9">
        <v>99</v>
      </c>
      <c r="B102" s="7"/>
      <c r="C102" s="9"/>
      <c r="D102" s="4"/>
      <c r="E102" s="4">
        <f>IF(OR(C102="",D102=""),"",C102*D102)</f>
      </c>
      <c r="F102" s="6"/>
    </row>
    <row r="103">
      <c r="A103" s="9">
        <v>100</v>
      </c>
      <c r="B103" s="7"/>
      <c r="C103" s="9"/>
      <c r="D103" s="4"/>
      <c r="E103" s="4">
        <f>IF(OR(C103="",D103=""),"",C103*D103)</f>
      </c>
      <c r="F103" s="6"/>
    </row>
    <row r="104">
      <c r="A104" s="9">
        <v>101</v>
      </c>
      <c r="B104" s="7"/>
      <c r="C104" s="9"/>
      <c r="D104" s="4"/>
      <c r="E104" s="4">
        <f>IF(OR(C104="",D104=""),"",C104*D104)</f>
      </c>
      <c r="F104" s="6"/>
    </row>
    <row r="105">
      <c r="A105" s="9">
        <v>102</v>
      </c>
      <c r="B105" s="7"/>
      <c r="C105" s="9"/>
      <c r="D105" s="4"/>
      <c r="E105" s="4">
        <f>IF(OR(C105="",D105=""),"",C105*D105)</f>
      </c>
      <c r="F105" s="6"/>
    </row>
    <row r="106">
      <c r="A106" s="9">
        <v>103</v>
      </c>
      <c r="B106" s="7"/>
      <c r="C106" s="9"/>
      <c r="D106" s="4"/>
      <c r="E106" s="4">
        <f>IF(OR(C106="",D106=""),"",C106*D106)</f>
      </c>
      <c r="F106" s="6"/>
    </row>
    <row r="107">
      <c r="A107" s="9">
        <v>104</v>
      </c>
      <c r="B107" s="7"/>
      <c r="C107" s="9"/>
      <c r="D107" s="4"/>
      <c r="E107" s="4">
        <f>IF(OR(C107="",D107=""),"",C107*D107)</f>
      </c>
      <c r="F107" s="6"/>
    </row>
    <row r="108">
      <c r="A108" s="9">
        <v>105</v>
      </c>
      <c r="B108" s="7"/>
      <c r="C108" s="9"/>
      <c r="D108" s="4"/>
      <c r="E108" s="4">
        <f>IF(OR(C108="",D108=""),"",C108*D108)</f>
      </c>
      <c r="F108" s="6"/>
    </row>
    <row r="109">
      <c r="A109" s="9">
        <v>106</v>
      </c>
      <c r="B109" s="7"/>
      <c r="C109" s="9"/>
      <c r="D109" s="4"/>
      <c r="E109" s="4">
        <f>IF(OR(C109="",D109=""),"",C109*D109)</f>
      </c>
      <c r="F109" s="6"/>
    </row>
    <row r="110">
      <c r="A110" s="9">
        <v>107</v>
      </c>
      <c r="B110" s="7"/>
      <c r="C110" s="9"/>
      <c r="D110" s="4"/>
      <c r="E110" s="4">
        <f>IF(OR(C110="",D110=""),"",C110*D110)</f>
      </c>
      <c r="F110" s="6"/>
    </row>
    <row r="111">
      <c r="A111" s="9">
        <v>108</v>
      </c>
      <c r="B111" s="7"/>
      <c r="C111" s="9"/>
      <c r="D111" s="4"/>
      <c r="E111" s="4">
        <f>IF(OR(C111="",D111=""),"",C111*D111)</f>
      </c>
      <c r="F111" s="6"/>
    </row>
    <row r="112">
      <c r="A112" s="9">
        <v>109</v>
      </c>
      <c r="B112" s="7"/>
      <c r="C112" s="9"/>
      <c r="D112" s="4"/>
      <c r="E112" s="4">
        <f>IF(OR(C112="",D112=""),"",C112*D112)</f>
      </c>
      <c r="F112" s="6"/>
    </row>
    <row r="113">
      <c r="A113" s="9">
        <v>110</v>
      </c>
      <c r="B113" s="7"/>
      <c r="C113" s="9"/>
      <c r="D113" s="4"/>
      <c r="E113" s="4">
        <f>IF(OR(C113="",D113=""),"",C113*D113)</f>
      </c>
      <c r="F113" s="6"/>
    </row>
    <row r="114">
      <c r="A114" s="9">
        <v>111</v>
      </c>
      <c r="B114" s="7"/>
      <c r="C114" s="9"/>
      <c r="D114" s="4"/>
      <c r="E114" s="4">
        <f>IF(OR(C114="",D114=""),"",C114*D114)</f>
      </c>
      <c r="F114" s="6"/>
    </row>
    <row r="115">
      <c r="A115" s="9">
        <v>112</v>
      </c>
      <c r="B115" s="7"/>
      <c r="C115" s="9"/>
      <c r="D115" s="4"/>
      <c r="E115" s="4">
        <f>IF(OR(C115="",D115=""),"",C115*D115)</f>
      </c>
      <c r="F115" s="6"/>
    </row>
    <row r="116">
      <c r="A116" s="9">
        <v>113</v>
      </c>
      <c r="B116" s="7"/>
      <c r="C116" s="9"/>
      <c r="D116" s="4"/>
      <c r="E116" s="4">
        <f>IF(OR(C116="",D116=""),"",C116*D116)</f>
      </c>
      <c r="F116" s="6"/>
    </row>
    <row r="117">
      <c r="A117" s="9">
        <v>114</v>
      </c>
      <c r="B117" s="7"/>
      <c r="C117" s="9"/>
      <c r="D117" s="4"/>
      <c r="E117" s="4">
        <f>IF(OR(C117="",D117=""),"",C117*D117)</f>
      </c>
      <c r="F117" s="6"/>
    </row>
    <row r="118">
      <c r="A118" s="9">
        <v>115</v>
      </c>
      <c r="B118" s="7"/>
      <c r="C118" s="9"/>
      <c r="D118" s="4"/>
      <c r="E118" s="4">
        <f>IF(OR(C118="",D118=""),"",C118*D118)</f>
      </c>
      <c r="F118" s="6"/>
    </row>
    <row r="119">
      <c r="A119" s="9">
        <v>116</v>
      </c>
      <c r="B119" s="7"/>
      <c r="C119" s="9"/>
      <c r="D119" s="4"/>
      <c r="E119" s="4">
        <f>IF(OR(C119="",D119=""),"",C119*D119)</f>
      </c>
      <c r="F119" s="6"/>
    </row>
    <row r="120">
      <c r="A120" s="9">
        <v>117</v>
      </c>
      <c r="B120" s="7"/>
      <c r="C120" s="9"/>
      <c r="D120" s="4"/>
      <c r="E120" s="4">
        <f>IF(OR(C120="",D120=""),"",C120*D120)</f>
      </c>
      <c r="F120" s="6"/>
    </row>
    <row r="121">
      <c r="A121" s="9">
        <v>118</v>
      </c>
      <c r="B121" s="7"/>
      <c r="C121" s="9"/>
      <c r="D121" s="4"/>
      <c r="E121" s="4">
        <f>IF(OR(C121="",D121=""),"",C121*D121)</f>
      </c>
      <c r="F121" s="6"/>
    </row>
    <row r="122">
      <c r="A122" s="9">
        <v>119</v>
      </c>
      <c r="B122" s="7"/>
      <c r="C122" s="9"/>
      <c r="D122" s="4"/>
      <c r="E122" s="4">
        <f>IF(OR(C122="",D122=""),"",C122*D122)</f>
      </c>
      <c r="F122" s="6"/>
    </row>
    <row r="123">
      <c r="A123" s="9">
        <v>120</v>
      </c>
      <c r="B123" s="7"/>
      <c r="C123" s="9"/>
      <c r="D123" s="4"/>
      <c r="E123" s="4">
        <f>IF(OR(C123="",D123=""),"",C123*D123)</f>
      </c>
      <c r="F123" s="6"/>
    </row>
    <row r="124">
      <c r="A124" s="9">
        <v>121</v>
      </c>
      <c r="B124" s="7"/>
      <c r="C124" s="9"/>
      <c r="D124" s="4"/>
      <c r="E124" s="4">
        <f>IF(OR(C124="",D124=""),"",C124*D124)</f>
      </c>
      <c r="F124" s="6"/>
    </row>
    <row r="125">
      <c r="A125" s="9">
        <v>122</v>
      </c>
      <c r="B125" s="7"/>
      <c r="C125" s="9"/>
      <c r="D125" s="4"/>
      <c r="E125" s="4">
        <f>IF(OR(C125="",D125=""),"",C125*D125)</f>
      </c>
      <c r="F125" s="6"/>
    </row>
    <row r="126">
      <c r="A126" s="9">
        <v>123</v>
      </c>
      <c r="B126" s="7"/>
      <c r="C126" s="9"/>
      <c r="D126" s="4"/>
      <c r="E126" s="4">
        <f>IF(OR(C126="",D126=""),"",C126*D126)</f>
      </c>
      <c r="F126" s="6"/>
    </row>
    <row r="127">
      <c r="A127" s="9">
        <v>124</v>
      </c>
      <c r="B127" s="7"/>
      <c r="C127" s="9"/>
      <c r="D127" s="4"/>
      <c r="E127" s="4">
        <f>IF(OR(C127="",D127=""),"",C127*D127)</f>
      </c>
      <c r="F127" s="6"/>
    </row>
    <row r="128">
      <c r="A128" s="9">
        <v>125</v>
      </c>
      <c r="B128" s="7"/>
      <c r="C128" s="9"/>
      <c r="D128" s="4"/>
      <c r="E128" s="4">
        <f>IF(OR(C128="",D128=""),"",C128*D128)</f>
      </c>
      <c r="F128" s="6"/>
    </row>
    <row r="129">
      <c r="A129" s="9">
        <v>126</v>
      </c>
      <c r="B129" s="7"/>
      <c r="C129" s="9"/>
      <c r="D129" s="4"/>
      <c r="E129" s="4">
        <f>IF(OR(C129="",D129=""),"",C129*D129)</f>
      </c>
      <c r="F129" s="6"/>
    </row>
    <row r="130">
      <c r="A130" s="9">
        <v>127</v>
      </c>
      <c r="B130" s="7"/>
      <c r="C130" s="9"/>
      <c r="D130" s="4"/>
      <c r="E130" s="4">
        <f>IF(OR(C130="",D130=""),"",C130*D130)</f>
      </c>
      <c r="F130" s="6"/>
    </row>
    <row r="131">
      <c r="A131" s="9">
        <v>128</v>
      </c>
      <c r="B131" s="7"/>
      <c r="C131" s="9"/>
      <c r="D131" s="4"/>
      <c r="E131" s="4">
        <f>IF(OR(C131="",D131=""),"",C131*D131)</f>
      </c>
      <c r="F131" s="6"/>
    </row>
    <row r="132">
      <c r="A132" s="9">
        <v>129</v>
      </c>
      <c r="B132" s="7"/>
      <c r="C132" s="9"/>
      <c r="D132" s="4"/>
      <c r="E132" s="4">
        <f>IF(OR(C132="",D132=""),"",C132*D132)</f>
      </c>
      <c r="F132" s="6"/>
    </row>
    <row r="133">
      <c r="A133" s="9">
        <v>130</v>
      </c>
      <c r="B133" s="7"/>
      <c r="C133" s="9"/>
      <c r="D133" s="4"/>
      <c r="E133" s="4">
        <f>IF(OR(C133="",D133=""),"",C133*D133)</f>
      </c>
      <c r="F133" s="6"/>
    </row>
    <row r="134">
      <c r="A134" s="9">
        <v>131</v>
      </c>
      <c r="B134" s="7"/>
      <c r="C134" s="9"/>
      <c r="D134" s="4"/>
      <c r="E134" s="4">
        <f>IF(OR(C134="",D134=""),"",C134*D134)</f>
      </c>
      <c r="F134" s="6"/>
    </row>
    <row r="135">
      <c r="A135" s="9">
        <v>132</v>
      </c>
      <c r="B135" s="7"/>
      <c r="C135" s="9"/>
      <c r="D135" s="4"/>
      <c r="E135" s="4">
        <f>IF(OR(C135="",D135=""),"",C135*D135)</f>
      </c>
      <c r="F135" s="6"/>
    </row>
    <row r="136">
      <c r="A136" s="9">
        <v>133</v>
      </c>
      <c r="B136" s="7"/>
      <c r="C136" s="9"/>
      <c r="D136" s="4"/>
      <c r="E136" s="4">
        <f>IF(OR(C136="",D136=""),"",C136*D136)</f>
      </c>
      <c r="F136" s="6"/>
    </row>
    <row r="137">
      <c r="A137" s="9">
        <v>134</v>
      </c>
      <c r="B137" s="7"/>
      <c r="C137" s="9"/>
      <c r="D137" s="4"/>
      <c r="E137" s="4">
        <f>IF(OR(C137="",D137=""),"",C137*D137)</f>
      </c>
      <c r="F137" s="6"/>
    </row>
    <row r="138">
      <c r="A138" s="9">
        <v>135</v>
      </c>
      <c r="B138" s="7"/>
      <c r="C138" s="9"/>
      <c r="D138" s="4"/>
      <c r="E138" s="4">
        <f>IF(OR(C138="",D138=""),"",C138*D138)</f>
      </c>
      <c r="F138" s="6"/>
    </row>
    <row r="139">
      <c r="A139" s="9">
        <v>136</v>
      </c>
      <c r="B139" s="7"/>
      <c r="C139" s="9"/>
      <c r="D139" s="4"/>
      <c r="E139" s="4">
        <f>IF(OR(C139="",D139=""),"",C139*D139)</f>
      </c>
      <c r="F139" s="6"/>
    </row>
    <row r="140">
      <c r="A140" s="9">
        <v>137</v>
      </c>
      <c r="B140" s="7"/>
      <c r="C140" s="9"/>
      <c r="D140" s="4"/>
      <c r="E140" s="4">
        <f>IF(OR(C140="",D140=""),"",C140*D140)</f>
      </c>
      <c r="F140" s="6"/>
    </row>
    <row r="141">
      <c r="A141" s="9">
        <v>138</v>
      </c>
      <c r="B141" s="7"/>
      <c r="C141" s="9"/>
      <c r="D141" s="4"/>
      <c r="E141" s="4">
        <f>IF(OR(C141="",D141=""),"",C141*D141)</f>
      </c>
      <c r="F141" s="6"/>
    </row>
    <row r="142">
      <c r="A142" s="9">
        <v>139</v>
      </c>
      <c r="B142" s="7"/>
      <c r="C142" s="9"/>
      <c r="D142" s="4"/>
      <c r="E142" s="4">
        <f>IF(OR(C142="",D142=""),"",C142*D142)</f>
      </c>
      <c r="F142" s="6"/>
    </row>
    <row r="143">
      <c r="A143" s="9">
        <v>140</v>
      </c>
      <c r="B143" s="7"/>
      <c r="C143" s="9"/>
      <c r="D143" s="4"/>
      <c r="E143" s="4">
        <f>IF(OR(C143="",D143=""),"",C143*D143)</f>
      </c>
      <c r="F143" s="6"/>
    </row>
    <row r="144">
      <c r="A144" s="9">
        <v>141</v>
      </c>
      <c r="B144" s="7"/>
      <c r="C144" s="9"/>
      <c r="D144" s="4"/>
      <c r="E144" s="4">
        <f>IF(OR(C144="",D144=""),"",C144*D144)</f>
      </c>
      <c r="F144" s="6"/>
    </row>
    <row r="145">
      <c r="A145" s="9">
        <v>142</v>
      </c>
      <c r="B145" s="7"/>
      <c r="C145" s="9"/>
      <c r="D145" s="4"/>
      <c r="E145" s="4">
        <f>IF(OR(C145="",D145=""),"",C145*D145)</f>
      </c>
      <c r="F145" s="6"/>
    </row>
    <row r="146">
      <c r="A146" s="9">
        <v>143</v>
      </c>
      <c r="B146" s="7"/>
      <c r="C146" s="9"/>
      <c r="D146" s="4"/>
      <c r="E146" s="4">
        <f>IF(OR(C146="",D146=""),"",C146*D146)</f>
      </c>
      <c r="F146" s="6"/>
    </row>
    <row r="147">
      <c r="A147" s="9">
        <v>144</v>
      </c>
      <c r="B147" s="7"/>
      <c r="C147" s="9"/>
      <c r="D147" s="4"/>
      <c r="E147" s="4">
        <f>IF(OR(C147="",D147=""),"",C147*D147)</f>
      </c>
      <c r="F147" s="6"/>
    </row>
    <row r="148">
      <c r="A148" s="9">
        <v>145</v>
      </c>
      <c r="B148" s="7"/>
      <c r="C148" s="9"/>
      <c r="D148" s="4"/>
      <c r="E148" s="4">
        <f>IF(OR(C148="",D148=""),"",C148*D148)</f>
      </c>
      <c r="F148" s="6"/>
    </row>
    <row r="149">
      <c r="A149" s="9">
        <v>146</v>
      </c>
      <c r="B149" s="7"/>
      <c r="C149" s="9"/>
      <c r="D149" s="4"/>
      <c r="E149" s="4">
        <f>IF(OR(C149="",D149=""),"",C149*D149)</f>
      </c>
      <c r="F149" s="6"/>
    </row>
    <row r="150">
      <c r="A150" s="9">
        <v>147</v>
      </c>
      <c r="B150" s="7"/>
      <c r="C150" s="9"/>
      <c r="D150" s="4"/>
      <c r="E150" s="4">
        <f>IF(OR(C150="",D150=""),"",C150*D150)</f>
      </c>
      <c r="F150" s="6"/>
    </row>
    <row r="151">
      <c r="A151" s="9">
        <v>148</v>
      </c>
      <c r="B151" s="7"/>
      <c r="C151" s="9"/>
      <c r="D151" s="4"/>
      <c r="E151" s="4">
        <f>IF(OR(C151="",D151=""),"",C151*D151)</f>
      </c>
      <c r="F151" s="6"/>
    </row>
    <row r="152">
      <c r="A152" s="9">
        <v>149</v>
      </c>
      <c r="B152" s="7"/>
      <c r="C152" s="9"/>
      <c r="D152" s="4"/>
      <c r="E152" s="4">
        <f>IF(OR(C152="",D152=""),"",C152*D152)</f>
      </c>
      <c r="F152" s="6"/>
    </row>
    <row r="153">
      <c r="A153" s="9">
        <v>150</v>
      </c>
      <c r="B153" s="7"/>
      <c r="C153" s="9"/>
      <c r="D153" s="4"/>
      <c r="E153" s="4">
        <f>IF(OR(C153="",D153=""),"",C153*D153)</f>
      </c>
      <c r="F153" s="6"/>
    </row>
    <row r="154">
      <c r="A154" s="9">
        <v>151</v>
      </c>
      <c r="B154" s="7"/>
      <c r="C154" s="9"/>
      <c r="D154" s="4"/>
      <c r="E154" s="4">
        <f>IF(OR(C154="",D154=""),"",C154*D154)</f>
      </c>
      <c r="F154" s="6"/>
    </row>
    <row r="155">
      <c r="A155" s="9">
        <v>152</v>
      </c>
      <c r="B155" s="7"/>
      <c r="C155" s="9"/>
      <c r="D155" s="4"/>
      <c r="E155" s="4">
        <f>IF(OR(C155="",D155=""),"",C155*D155)</f>
      </c>
      <c r="F155" s="6"/>
    </row>
    <row r="156">
      <c r="A156" s="9">
        <v>153</v>
      </c>
      <c r="B156" s="7"/>
      <c r="C156" s="9"/>
      <c r="D156" s="4"/>
      <c r="E156" s="4">
        <f>IF(OR(C156="",D156=""),"",C156*D156)</f>
      </c>
      <c r="F156" s="6"/>
    </row>
    <row r="157">
      <c r="A157" s="9">
        <v>154</v>
      </c>
      <c r="B157" s="7"/>
      <c r="C157" s="9"/>
      <c r="D157" s="4"/>
      <c r="E157" s="4">
        <f>IF(OR(C157="",D157=""),"",C157*D157)</f>
      </c>
      <c r="F157" s="6"/>
    </row>
    <row r="158">
      <c r="A158" s="9">
        <v>155</v>
      </c>
      <c r="B158" s="7"/>
      <c r="C158" s="9"/>
      <c r="D158" s="4"/>
      <c r="E158" s="4">
        <f>IF(OR(C158="",D158=""),"",C158*D158)</f>
      </c>
      <c r="F158" s="6"/>
    </row>
    <row r="159">
      <c r="A159" s="9">
        <v>156</v>
      </c>
      <c r="B159" s="7"/>
      <c r="C159" s="9"/>
      <c r="D159" s="4"/>
      <c r="E159" s="4">
        <f>IF(OR(C159="",D159=""),"",C159*D159)</f>
      </c>
      <c r="F159" s="6"/>
    </row>
    <row r="160">
      <c r="A160" s="9">
        <v>157</v>
      </c>
      <c r="B160" s="7"/>
      <c r="C160" s="9"/>
      <c r="D160" s="4"/>
      <c r="E160" s="4">
        <f>IF(OR(C160="",D160=""),"",C160*D160)</f>
      </c>
      <c r="F160" s="6"/>
    </row>
    <row r="161">
      <c r="A161" s="9">
        <v>158</v>
      </c>
      <c r="B161" s="7"/>
      <c r="C161" s="9"/>
      <c r="D161" s="4"/>
      <c r="E161" s="4">
        <f>IF(OR(C161="",D161=""),"",C161*D161)</f>
      </c>
      <c r="F161" s="6"/>
    </row>
    <row r="162">
      <c r="A162" s="9">
        <v>159</v>
      </c>
      <c r="B162" s="7"/>
      <c r="C162" s="9"/>
      <c r="D162" s="4"/>
      <c r="E162" s="4">
        <f>IF(OR(C162="",D162=""),"",C162*D162)</f>
      </c>
      <c r="F162" s="6"/>
    </row>
    <row r="163">
      <c r="A163" s="9">
        <v>160</v>
      </c>
      <c r="B163" s="7"/>
      <c r="C163" s="9"/>
      <c r="D163" s="4"/>
      <c r="E163" s="4">
        <f>IF(OR(C163="",D163=""),"",C163*D163)</f>
      </c>
      <c r="F163" s="6"/>
    </row>
    <row r="164">
      <c r="A164" s="9">
        <v>161</v>
      </c>
      <c r="B164" s="7"/>
      <c r="C164" s="9"/>
      <c r="D164" s="4"/>
      <c r="E164" s="4">
        <f>IF(OR(C164="",D164=""),"",C164*D164)</f>
      </c>
      <c r="F164" s="6"/>
    </row>
    <row r="165">
      <c r="A165" s="9">
        <v>162</v>
      </c>
      <c r="B165" s="7"/>
      <c r="C165" s="9"/>
      <c r="D165" s="4"/>
      <c r="E165" s="4">
        <f>IF(OR(C165="",D165=""),"",C165*D165)</f>
      </c>
      <c r="F165" s="6"/>
    </row>
    <row r="166">
      <c r="A166" s="9">
        <v>163</v>
      </c>
      <c r="B166" s="7"/>
      <c r="C166" s="9"/>
      <c r="D166" s="4"/>
      <c r="E166" s="4">
        <f>IF(OR(C166="",D166=""),"",C166*D166)</f>
      </c>
      <c r="F166" s="6"/>
    </row>
    <row r="167">
      <c r="A167" s="9">
        <v>164</v>
      </c>
      <c r="B167" s="7"/>
      <c r="C167" s="9"/>
      <c r="D167" s="4"/>
      <c r="E167" s="4">
        <f>IF(OR(C167="",D167=""),"",C167*D167)</f>
      </c>
      <c r="F167" s="6"/>
    </row>
    <row r="168">
      <c r="A168" s="9">
        <v>165</v>
      </c>
      <c r="B168" s="7"/>
      <c r="C168" s="9"/>
      <c r="D168" s="4"/>
      <c r="E168" s="4">
        <f>IF(OR(C168="",D168=""),"",C168*D168)</f>
      </c>
      <c r="F168" s="6"/>
    </row>
    <row r="169">
      <c r="A169" s="9">
        <v>166</v>
      </c>
      <c r="B169" s="7"/>
      <c r="C169" s="9"/>
      <c r="D169" s="4"/>
      <c r="E169" s="4">
        <f>IF(OR(C169="",D169=""),"",C169*D169)</f>
      </c>
      <c r="F169" s="6"/>
    </row>
    <row r="170">
      <c r="A170" s="9">
        <v>167</v>
      </c>
      <c r="B170" s="7"/>
      <c r="C170" s="9"/>
      <c r="D170" s="4"/>
      <c r="E170" s="4">
        <f>IF(OR(C170="",D170=""),"",C170*D170)</f>
      </c>
      <c r="F170" s="6"/>
    </row>
    <row r="171">
      <c r="A171" s="9">
        <v>168</v>
      </c>
      <c r="B171" s="7"/>
      <c r="C171" s="9"/>
      <c r="D171" s="4"/>
      <c r="E171" s="4">
        <f>IF(OR(C171="",D171=""),"",C171*D171)</f>
      </c>
      <c r="F171" s="6"/>
    </row>
    <row r="172">
      <c r="A172" s="9">
        <v>169</v>
      </c>
      <c r="B172" s="7"/>
      <c r="C172" s="9"/>
      <c r="D172" s="4"/>
      <c r="E172" s="4">
        <f>IF(OR(C172="",D172=""),"",C172*D172)</f>
      </c>
      <c r="F172" s="6"/>
    </row>
    <row r="173">
      <c r="A173" s="9">
        <v>170</v>
      </c>
      <c r="B173" s="7"/>
      <c r="C173" s="9"/>
      <c r="D173" s="4"/>
      <c r="E173" s="4">
        <f>IF(OR(C173="",D173=""),"",C173*D173)</f>
      </c>
      <c r="F173" s="6"/>
    </row>
    <row r="174">
      <c r="A174" s="9">
        <v>171</v>
      </c>
      <c r="B174" s="7"/>
      <c r="C174" s="9"/>
      <c r="D174" s="4"/>
      <c r="E174" s="4">
        <f>IF(OR(C174="",D174=""),"",C174*D174)</f>
      </c>
      <c r="F174" s="6"/>
    </row>
    <row r="175">
      <c r="A175" s="9">
        <v>172</v>
      </c>
      <c r="B175" s="7"/>
      <c r="C175" s="9"/>
      <c r="D175" s="4"/>
      <c r="E175" s="4">
        <f>IF(OR(C175="",D175=""),"",C175*D175)</f>
      </c>
      <c r="F175" s="6"/>
    </row>
    <row r="176">
      <c r="A176" s="9">
        <v>173</v>
      </c>
      <c r="B176" s="7"/>
      <c r="C176" s="9"/>
      <c r="D176" s="4"/>
      <c r="E176" s="4">
        <f>IF(OR(C176="",D176=""),"",C176*D176)</f>
      </c>
      <c r="F176" s="6"/>
    </row>
    <row r="177">
      <c r="A177" s="9">
        <v>174</v>
      </c>
      <c r="B177" s="7"/>
      <c r="C177" s="9"/>
      <c r="D177" s="4"/>
      <c r="E177" s="4">
        <f>IF(OR(C177="",D177=""),"",C177*D177)</f>
      </c>
      <c r="F177" s="6"/>
    </row>
    <row r="178">
      <c r="A178" s="9">
        <v>175</v>
      </c>
      <c r="B178" s="7"/>
      <c r="C178" s="9"/>
      <c r="D178" s="4"/>
      <c r="E178" s="4">
        <f>IF(OR(C178="",D178=""),"",C178*D178)</f>
      </c>
      <c r="F178" s="6"/>
    </row>
    <row r="179">
      <c r="A179" s="9">
        <v>176</v>
      </c>
      <c r="B179" s="7"/>
      <c r="C179" s="9"/>
      <c r="D179" s="4"/>
      <c r="E179" s="4">
        <f>IF(OR(C179="",D179=""),"",C179*D179)</f>
      </c>
      <c r="F179" s="6"/>
    </row>
    <row r="180">
      <c r="A180" s="9">
        <v>177</v>
      </c>
      <c r="B180" s="7"/>
      <c r="C180" s="9"/>
      <c r="D180" s="4"/>
      <c r="E180" s="4">
        <f>IF(OR(C180="",D180=""),"",C180*D180)</f>
      </c>
      <c r="F180" s="6"/>
    </row>
    <row r="181">
      <c r="A181" s="9">
        <v>178</v>
      </c>
      <c r="B181" s="7"/>
      <c r="C181" s="9"/>
      <c r="D181" s="4"/>
      <c r="E181" s="4">
        <f>IF(OR(C181="",D181=""),"",C181*D181)</f>
      </c>
      <c r="F181" s="6"/>
    </row>
    <row r="182">
      <c r="A182" s="9">
        <v>179</v>
      </c>
      <c r="B182" s="7"/>
      <c r="C182" s="9"/>
      <c r="D182" s="4"/>
      <c r="E182" s="4">
        <f>IF(OR(C182="",D182=""),"",C182*D182)</f>
      </c>
      <c r="F182" s="6"/>
    </row>
    <row r="183">
      <c r="A183" s="9">
        <v>180</v>
      </c>
      <c r="B183" s="7"/>
      <c r="C183" s="9"/>
      <c r="D183" s="4"/>
      <c r="E183" s="4">
        <f>IF(OR(C183="",D183=""),"",C183*D183)</f>
      </c>
      <c r="F183" s="6"/>
    </row>
    <row r="184">
      <c r="A184" s="9">
        <v>181</v>
      </c>
      <c r="B184" s="7"/>
      <c r="C184" s="9"/>
      <c r="D184" s="4"/>
      <c r="E184" s="4">
        <f>IF(OR(C184="",D184=""),"",C184*D184)</f>
      </c>
      <c r="F184" s="6"/>
    </row>
    <row r="185">
      <c r="A185" s="9">
        <v>182</v>
      </c>
      <c r="B185" s="7"/>
      <c r="C185" s="9"/>
      <c r="D185" s="4"/>
      <c r="E185" s="4">
        <f>IF(OR(C185="",D185=""),"",C185*D185)</f>
      </c>
      <c r="F185" s="6"/>
    </row>
    <row r="186">
      <c r="A186" s="9">
        <v>183</v>
      </c>
      <c r="B186" s="7"/>
      <c r="C186" s="9"/>
      <c r="D186" s="4"/>
      <c r="E186" s="4">
        <f>IF(OR(C186="",D186=""),"",C186*D186)</f>
      </c>
      <c r="F186" s="6"/>
    </row>
    <row r="187">
      <c r="A187" s="9">
        <v>184</v>
      </c>
      <c r="B187" s="7"/>
      <c r="C187" s="9"/>
      <c r="D187" s="4"/>
      <c r="E187" s="4">
        <f>IF(OR(C187="",D187=""),"",C187*D187)</f>
      </c>
      <c r="F187" s="6"/>
    </row>
    <row r="188">
      <c r="A188" s="9">
        <v>185</v>
      </c>
      <c r="B188" s="7"/>
      <c r="C188" s="9"/>
      <c r="D188" s="4"/>
      <c r="E188" s="4">
        <f>IF(OR(C188="",D188=""),"",C188*D188)</f>
      </c>
      <c r="F188" s="6"/>
    </row>
    <row r="189">
      <c r="A189" s="9">
        <v>186</v>
      </c>
      <c r="B189" s="7"/>
      <c r="C189" s="9"/>
      <c r="D189" s="4"/>
      <c r="E189" s="4">
        <f>IF(OR(C189="",D189=""),"",C189*D189)</f>
      </c>
      <c r="F189" s="6"/>
    </row>
    <row r="190">
      <c r="A190" s="9">
        <v>187</v>
      </c>
      <c r="B190" s="7"/>
      <c r="C190" s="9"/>
      <c r="D190" s="4"/>
      <c r="E190" s="4">
        <f>IF(OR(C190="",D190=""),"",C190*D190)</f>
      </c>
      <c r="F190" s="6"/>
    </row>
    <row r="191">
      <c r="A191" s="9">
        <v>188</v>
      </c>
      <c r="B191" s="7"/>
      <c r="C191" s="9"/>
      <c r="D191" s="4"/>
      <c r="E191" s="4">
        <f>IF(OR(C191="",D191=""),"",C191*D191)</f>
      </c>
      <c r="F191" s="6"/>
    </row>
    <row r="192">
      <c r="A192" s="9">
        <v>189</v>
      </c>
      <c r="B192" s="7"/>
      <c r="C192" s="9"/>
      <c r="D192" s="4"/>
      <c r="E192" s="4">
        <f>IF(OR(C192="",D192=""),"",C192*D192)</f>
      </c>
      <c r="F192" s="6"/>
    </row>
    <row r="193">
      <c r="A193" s="9">
        <v>190</v>
      </c>
      <c r="B193" s="7"/>
      <c r="C193" s="9"/>
      <c r="D193" s="4"/>
      <c r="E193" s="4">
        <f>IF(OR(C193="",D193=""),"",C193*D193)</f>
      </c>
      <c r="F193" s="6"/>
    </row>
    <row r="194">
      <c r="A194" s="9">
        <v>191</v>
      </c>
      <c r="B194" s="7"/>
      <c r="C194" s="9"/>
      <c r="D194" s="4"/>
      <c r="E194" s="4">
        <f>IF(OR(C194="",D194=""),"",C194*D194)</f>
      </c>
      <c r="F194" s="6"/>
    </row>
    <row r="195">
      <c r="A195" s="9">
        <v>192</v>
      </c>
      <c r="B195" s="7"/>
      <c r="C195" s="9"/>
      <c r="D195" s="4"/>
      <c r="E195" s="4">
        <f>IF(OR(C195="",D195=""),"",C195*D195)</f>
      </c>
      <c r="F195" s="6"/>
    </row>
    <row r="196">
      <c r="A196" s="9">
        <v>193</v>
      </c>
      <c r="B196" s="7"/>
      <c r="C196" s="9"/>
      <c r="D196" s="4"/>
      <c r="E196" s="4">
        <f>IF(OR(C196="",D196=""),"",C196*D196)</f>
      </c>
      <c r="F196" s="6"/>
    </row>
    <row r="197">
      <c r="A197" s="9">
        <v>194</v>
      </c>
      <c r="B197" s="7"/>
      <c r="C197" s="9"/>
      <c r="D197" s="4"/>
      <c r="E197" s="4">
        <f>IF(OR(C197="",D197=""),"",C197*D197)</f>
      </c>
      <c r="F197" s="6"/>
    </row>
    <row r="198">
      <c r="A198" s="9">
        <v>195</v>
      </c>
      <c r="B198" s="7"/>
      <c r="C198" s="9"/>
      <c r="D198" s="4"/>
      <c r="E198" s="4">
        <f>IF(OR(C198="",D198=""),"",C198*D198)</f>
      </c>
      <c r="F198" s="6"/>
    </row>
    <row r="199">
      <c r="A199" s="9">
        <v>196</v>
      </c>
      <c r="B199" s="7"/>
      <c r="C199" s="9"/>
      <c r="D199" s="4"/>
      <c r="E199" s="4">
        <f>IF(OR(C199="",D199=""),"",C199*D199)</f>
      </c>
      <c r="F199" s="6"/>
    </row>
    <row r="200">
      <c r="A200" s="9">
        <v>197</v>
      </c>
      <c r="B200" s="7"/>
      <c r="C200" s="9"/>
      <c r="D200" s="4"/>
      <c r="E200" s="4">
        <f>IF(OR(C200="",D200=""),"",C200*D200)</f>
      </c>
      <c r="F200" s="6"/>
    </row>
    <row r="201">
      <c r="A201" s="9">
        <v>198</v>
      </c>
      <c r="B201" s="7"/>
      <c r="C201" s="9"/>
      <c r="D201" s="4"/>
      <c r="E201" s="4">
        <f>IF(OR(C201="",D201=""),"",C201*D201)</f>
      </c>
      <c r="F201" s="6"/>
    </row>
    <row r="202">
      <c r="A202" s="9">
        <v>199</v>
      </c>
      <c r="B202" s="7"/>
      <c r="C202" s="9"/>
      <c r="D202" s="4"/>
      <c r="E202" s="4">
        <f>IF(OR(C202="",D202=""),"",C202*D202)</f>
      </c>
      <c r="F202" s="6"/>
    </row>
    <row r="203">
      <c r="A203" s="9">
        <v>200</v>
      </c>
      <c r="B203" s="7"/>
      <c r="C203" s="9"/>
      <c r="D203" s="4"/>
      <c r="E203" s="4">
        <f>IF(OR(C203="",D203=""),"",C203*D203)</f>
      </c>
      <c r="F203" s="6"/>
    </row>
    <row r="204">
      <c r="A204" s="9">
        <v>201</v>
      </c>
      <c r="B204" s="7"/>
      <c r="C204" s="9"/>
      <c r="D204" s="4"/>
      <c r="E204" s="4">
        <f>IF(OR(C204="",D204=""),"",C204*D204)</f>
      </c>
      <c r="F204" s="6"/>
    </row>
    <row r="205">
      <c r="A205" s="9">
        <v>202</v>
      </c>
      <c r="B205" s="7"/>
      <c r="C205" s="9"/>
      <c r="D205" s="4"/>
      <c r="E205" s="4">
        <f>IF(OR(C205="",D205=""),"",C205*D205)</f>
      </c>
      <c r="F205" s="6"/>
    </row>
    <row r="206">
      <c r="A206" s="9">
        <v>203</v>
      </c>
      <c r="B206" s="7"/>
      <c r="C206" s="9"/>
      <c r="D206" s="4"/>
      <c r="E206" s="4">
        <f>IF(OR(C206="",D206=""),"",C206*D206)</f>
      </c>
      <c r="F206" s="6"/>
    </row>
    <row r="207">
      <c r="A207" s="9">
        <v>204</v>
      </c>
      <c r="B207" s="7"/>
      <c r="C207" s="9"/>
      <c r="D207" s="4"/>
      <c r="E207" s="4">
        <f>IF(OR(C207="",D207=""),"",C207*D207)</f>
      </c>
      <c r="F207" s="6"/>
    </row>
    <row r="208">
      <c r="A208" s="9">
        <v>205</v>
      </c>
      <c r="B208" s="7"/>
      <c r="C208" s="9"/>
      <c r="D208" s="4"/>
      <c r="E208" s="4">
        <f>IF(OR(C208="",D208=""),"",C208*D208)</f>
      </c>
      <c r="F208" s="6"/>
    </row>
    <row r="209">
      <c r="A209" s="9">
        <v>206</v>
      </c>
      <c r="B209" s="7"/>
      <c r="C209" s="9"/>
      <c r="D209" s="4"/>
      <c r="E209" s="4">
        <f>IF(OR(C209="",D209=""),"",C209*D209)</f>
      </c>
      <c r="F209" s="6"/>
    </row>
    <row r="210">
      <c r="A210" s="9">
        <v>207</v>
      </c>
      <c r="B210" s="7"/>
      <c r="C210" s="9"/>
      <c r="D210" s="4"/>
      <c r="E210" s="4">
        <f>IF(OR(C210="",D210=""),"",C210*D210)</f>
      </c>
      <c r="F210" s="6"/>
    </row>
    <row r="211">
      <c r="A211" s="9">
        <v>208</v>
      </c>
      <c r="B211" s="7"/>
      <c r="C211" s="9"/>
      <c r="D211" s="4"/>
      <c r="E211" s="4">
        <f>IF(OR(C211="",D211=""),"",C211*D211)</f>
      </c>
      <c r="F211" s="6"/>
    </row>
    <row r="212">
      <c r="A212" s="9">
        <v>209</v>
      </c>
      <c r="B212" s="7"/>
      <c r="C212" s="9"/>
      <c r="D212" s="4"/>
      <c r="E212" s="4">
        <f>IF(OR(C212="",D212=""),"",C212*D212)</f>
      </c>
      <c r="F212" s="6"/>
    </row>
    <row r="213">
      <c r="A213" s="9">
        <v>210</v>
      </c>
      <c r="B213" s="7"/>
      <c r="C213" s="9"/>
      <c r="D213" s="4"/>
      <c r="E213" s="4">
        <f>IF(OR(C213="",D213=""),"",C213*D213)</f>
      </c>
      <c r="F213" s="6"/>
    </row>
    <row r="214">
      <c r="A214" s="9">
        <v>211</v>
      </c>
      <c r="B214" s="7"/>
      <c r="C214" s="9"/>
      <c r="D214" s="4"/>
      <c r="E214" s="4">
        <f>IF(OR(C214="",D214=""),"",C214*D214)</f>
      </c>
      <c r="F214" s="6"/>
    </row>
    <row r="215">
      <c r="A215" s="9">
        <v>212</v>
      </c>
      <c r="B215" s="7"/>
      <c r="C215" s="9"/>
      <c r="D215" s="4"/>
      <c r="E215" s="4">
        <f>IF(OR(C215="",D215=""),"",C215*D215)</f>
      </c>
      <c r="F215" s="6"/>
    </row>
    <row r="216">
      <c r="A216" s="9">
        <v>213</v>
      </c>
      <c r="B216" s="7"/>
      <c r="C216" s="9"/>
      <c r="D216" s="4"/>
      <c r="E216" s="4">
        <f>IF(OR(C216="",D216=""),"",C216*D216)</f>
      </c>
      <c r="F216" s="6"/>
    </row>
    <row r="217">
      <c r="A217" s="9">
        <v>214</v>
      </c>
      <c r="B217" s="7"/>
      <c r="C217" s="9"/>
      <c r="D217" s="4"/>
      <c r="E217" s="4">
        <f>IF(OR(C217="",D217=""),"",C217*D217)</f>
      </c>
      <c r="F217" s="6"/>
    </row>
    <row r="218">
      <c r="A218" s="9">
        <v>215</v>
      </c>
      <c r="B218" s="7"/>
      <c r="C218" s="9"/>
      <c r="D218" s="4"/>
      <c r="E218" s="4">
        <f>IF(OR(C218="",D218=""),"",C218*D218)</f>
      </c>
      <c r="F218" s="6"/>
    </row>
    <row r="219">
      <c r="A219" s="9">
        <v>216</v>
      </c>
      <c r="B219" s="7"/>
      <c r="C219" s="9"/>
      <c r="D219" s="4"/>
      <c r="E219" s="4">
        <f>IF(OR(C219="",D219=""),"",C219*D219)</f>
      </c>
      <c r="F219" s="6"/>
    </row>
    <row r="220">
      <c r="A220" s="9">
        <v>217</v>
      </c>
      <c r="B220" s="7"/>
      <c r="C220" s="9"/>
      <c r="D220" s="4"/>
      <c r="E220" s="4">
        <f>IF(OR(C220="",D220=""),"",C220*D220)</f>
      </c>
      <c r="F220" s="6"/>
    </row>
    <row r="221">
      <c r="A221" s="9">
        <v>218</v>
      </c>
      <c r="B221" s="7"/>
      <c r="C221" s="9"/>
      <c r="D221" s="4"/>
      <c r="E221" s="4">
        <f>IF(OR(C221="",D221=""),"",C221*D221)</f>
      </c>
      <c r="F221" s="6"/>
    </row>
    <row r="222">
      <c r="A222" s="9">
        <v>219</v>
      </c>
      <c r="B222" s="7"/>
      <c r="C222" s="9"/>
      <c r="D222" s="4"/>
      <c r="E222" s="4">
        <f>IF(OR(C222="",D222=""),"",C222*D222)</f>
      </c>
      <c r="F222" s="6"/>
    </row>
    <row r="223">
      <c r="A223" s="9">
        <v>220</v>
      </c>
      <c r="B223" s="7"/>
      <c r="C223" s="9"/>
      <c r="D223" s="4"/>
      <c r="E223" s="4">
        <f>IF(OR(C223="",D223=""),"",C223*D223)</f>
      </c>
      <c r="F223" s="6"/>
    </row>
    <row r="224">
      <c r="A224" s="9">
        <v>221</v>
      </c>
      <c r="B224" s="7"/>
      <c r="C224" s="9"/>
      <c r="D224" s="4"/>
      <c r="E224" s="4">
        <f>IF(OR(C224="",D224=""),"",C224*D224)</f>
      </c>
      <c r="F224" s="6"/>
    </row>
    <row r="225">
      <c r="A225" s="9">
        <v>222</v>
      </c>
      <c r="B225" s="7"/>
      <c r="C225" s="9"/>
      <c r="D225" s="4"/>
      <c r="E225" s="4">
        <f>IF(OR(C225="",D225=""),"",C225*D225)</f>
      </c>
      <c r="F225" s="6"/>
    </row>
    <row r="226">
      <c r="A226" s="9">
        <v>223</v>
      </c>
      <c r="B226" s="7"/>
      <c r="C226" s="9"/>
      <c r="D226" s="4"/>
      <c r="E226" s="4">
        <f>IF(OR(C226="",D226=""),"",C226*D226)</f>
      </c>
      <c r="F226" s="6"/>
    </row>
    <row r="227">
      <c r="A227" s="9">
        <v>224</v>
      </c>
      <c r="B227" s="7"/>
      <c r="C227" s="9"/>
      <c r="D227" s="4"/>
      <c r="E227" s="4">
        <f>IF(OR(C227="",D227=""),"",C227*D227)</f>
      </c>
      <c r="F227" s="6"/>
    </row>
    <row r="228">
      <c r="A228" s="9">
        <v>225</v>
      </c>
      <c r="B228" s="7"/>
      <c r="C228" s="9"/>
      <c r="D228" s="4"/>
      <c r="E228" s="4">
        <f>IF(OR(C228="",D228=""),"",C228*D228)</f>
      </c>
      <c r="F228" s="6"/>
    </row>
    <row r="229">
      <c r="A229" s="9">
        <v>226</v>
      </c>
      <c r="B229" s="7"/>
      <c r="C229" s="9"/>
      <c r="D229" s="4"/>
      <c r="E229" s="4">
        <f>IF(OR(C229="",D229=""),"",C229*D229)</f>
      </c>
      <c r="F229" s="6"/>
    </row>
    <row r="230">
      <c r="A230" s="9">
        <v>227</v>
      </c>
      <c r="B230" s="7"/>
      <c r="C230" s="9"/>
      <c r="D230" s="4"/>
      <c r="E230" s="4">
        <f>IF(OR(C230="",D230=""),"",C230*D230)</f>
      </c>
      <c r="F230" s="6"/>
    </row>
    <row r="231">
      <c r="A231" s="9">
        <v>228</v>
      </c>
      <c r="B231" s="7"/>
      <c r="C231" s="9"/>
      <c r="D231" s="4"/>
      <c r="E231" s="4">
        <f>IF(OR(C231="",D231=""),"",C231*D231)</f>
      </c>
      <c r="F231" s="6"/>
    </row>
    <row r="232">
      <c r="A232" s="9">
        <v>229</v>
      </c>
      <c r="B232" s="7"/>
      <c r="C232" s="9"/>
      <c r="D232" s="4"/>
      <c r="E232" s="4">
        <f>IF(OR(C232="",D232=""),"",C232*D232)</f>
      </c>
      <c r="F232" s="6"/>
    </row>
    <row r="233">
      <c r="A233" s="9">
        <v>230</v>
      </c>
      <c r="B233" s="7"/>
      <c r="C233" s="9"/>
      <c r="D233" s="4"/>
      <c r="E233" s="4">
        <f>IF(OR(C233="",D233=""),"",C233*D233)</f>
      </c>
      <c r="F233" s="6"/>
    </row>
    <row r="234">
      <c r="A234" s="9">
        <v>231</v>
      </c>
      <c r="B234" s="7"/>
      <c r="C234" s="9"/>
      <c r="D234" s="4"/>
      <c r="E234" s="4">
        <f>IF(OR(C234="",D234=""),"",C234*D234)</f>
      </c>
      <c r="F234" s="6"/>
    </row>
    <row r="235">
      <c r="A235" s="9">
        <v>232</v>
      </c>
      <c r="B235" s="7"/>
      <c r="C235" s="9"/>
      <c r="D235" s="4"/>
      <c r="E235" s="4">
        <f>IF(OR(C235="",D235=""),"",C235*D235)</f>
      </c>
      <c r="F235" s="6"/>
    </row>
    <row r="236">
      <c r="A236" s="9">
        <v>233</v>
      </c>
      <c r="B236" s="7"/>
      <c r="C236" s="9"/>
      <c r="D236" s="4"/>
      <c r="E236" s="4">
        <f>IF(OR(C236="",D236=""),"",C236*D236)</f>
      </c>
      <c r="F236" s="6"/>
    </row>
    <row r="237">
      <c r="A237" s="9">
        <v>234</v>
      </c>
      <c r="B237" s="7"/>
      <c r="C237" s="9"/>
      <c r="D237" s="4"/>
      <c r="E237" s="4">
        <f>IF(OR(C237="",D237=""),"",C237*D237)</f>
      </c>
      <c r="F237" s="6"/>
    </row>
    <row r="238">
      <c r="A238" s="9">
        <v>235</v>
      </c>
      <c r="B238" s="7"/>
      <c r="C238" s="9"/>
      <c r="D238" s="4"/>
      <c r="E238" s="4">
        <f>IF(OR(C238="",D238=""),"",C238*D238)</f>
      </c>
      <c r="F238" s="6"/>
    </row>
    <row r="239">
      <c r="A239" s="9">
        <v>236</v>
      </c>
      <c r="B239" s="7"/>
      <c r="C239" s="9"/>
      <c r="D239" s="4"/>
      <c r="E239" s="4">
        <f>IF(OR(C239="",D239=""),"",C239*D239)</f>
      </c>
      <c r="F239" s="6"/>
    </row>
    <row r="240">
      <c r="A240" s="9">
        <v>237</v>
      </c>
      <c r="B240" s="7"/>
      <c r="C240" s="9"/>
      <c r="D240" s="4"/>
      <c r="E240" s="4">
        <f>IF(OR(C240="",D240=""),"",C240*D240)</f>
      </c>
      <c r="F240" s="6"/>
    </row>
    <row r="241">
      <c r="A241" s="9">
        <v>238</v>
      </c>
      <c r="B241" s="7"/>
      <c r="C241" s="9"/>
      <c r="D241" s="4"/>
      <c r="E241" s="4">
        <f>IF(OR(C241="",D241=""),"",C241*D241)</f>
      </c>
      <c r="F241" s="6"/>
    </row>
    <row r="242">
      <c r="A242" s="9">
        <v>239</v>
      </c>
      <c r="B242" s="7"/>
      <c r="C242" s="9"/>
      <c r="D242" s="4"/>
      <c r="E242" s="4">
        <f>IF(OR(C242="",D242=""),"",C242*D242)</f>
      </c>
      <c r="F242" s="6"/>
    </row>
    <row r="243">
      <c r="A243" s="9">
        <v>240</v>
      </c>
      <c r="B243" s="7"/>
      <c r="C243" s="9"/>
      <c r="D243" s="4"/>
      <c r="E243" s="4">
        <f>IF(OR(C243="",D243=""),"",C243*D243)</f>
      </c>
      <c r="F243" s="6"/>
    </row>
    <row r="244">
      <c r="A244" s="9">
        <v>241</v>
      </c>
      <c r="B244" s="7"/>
      <c r="C244" s="9"/>
      <c r="D244" s="4"/>
      <c r="E244" s="4">
        <f>IF(OR(C244="",D244=""),"",C244*D244)</f>
      </c>
      <c r="F244" s="6"/>
    </row>
    <row r="245">
      <c r="A245" s="9">
        <v>242</v>
      </c>
      <c r="B245" s="7"/>
      <c r="C245" s="9"/>
      <c r="D245" s="4"/>
      <c r="E245" s="4">
        <f>IF(OR(C245="",D245=""),"",C245*D245)</f>
      </c>
      <c r="F245" s="6"/>
    </row>
    <row r="246">
      <c r="A246" s="9">
        <v>243</v>
      </c>
      <c r="B246" s="7"/>
      <c r="C246" s="9"/>
      <c r="D246" s="4"/>
      <c r="E246" s="4">
        <f>IF(OR(C246="",D246=""),"",C246*D246)</f>
      </c>
      <c r="F246" s="6"/>
    </row>
    <row r="247">
      <c r="A247" s="9">
        <v>244</v>
      </c>
      <c r="B247" s="7"/>
      <c r="C247" s="9"/>
      <c r="D247" s="4"/>
      <c r="E247" s="4">
        <f>IF(OR(C247="",D247=""),"",C247*D247)</f>
      </c>
      <c r="F247" s="6"/>
    </row>
    <row r="248">
      <c r="A248" s="9">
        <v>245</v>
      </c>
      <c r="B248" s="7"/>
      <c r="C248" s="9"/>
      <c r="D248" s="4"/>
      <c r="E248" s="4">
        <f>IF(OR(C248="",D248=""),"",C248*D248)</f>
      </c>
      <c r="F248" s="6"/>
    </row>
    <row r="249">
      <c r="A249" s="9">
        <v>246</v>
      </c>
      <c r="B249" s="7"/>
      <c r="C249" s="9"/>
      <c r="D249" s="4"/>
      <c r="E249" s="4">
        <f>IF(OR(C249="",D249=""),"",C249*D249)</f>
      </c>
      <c r="F249" s="6"/>
    </row>
    <row r="250">
      <c r="A250" s="9">
        <v>247</v>
      </c>
      <c r="B250" s="7"/>
      <c r="C250" s="9"/>
      <c r="D250" s="4"/>
      <c r="E250" s="4">
        <f>IF(OR(C250="",D250=""),"",C250*D250)</f>
      </c>
      <c r="F250" s="6"/>
    </row>
    <row r="251">
      <c r="A251" s="9">
        <v>248</v>
      </c>
      <c r="B251" s="7"/>
      <c r="C251" s="9"/>
      <c r="D251" s="4"/>
      <c r="E251" s="4">
        <f>IF(OR(C251="",D251=""),"",C251*D251)</f>
      </c>
      <c r="F251" s="6"/>
    </row>
    <row r="252">
      <c r="A252" s="9">
        <v>249</v>
      </c>
      <c r="B252" s="7"/>
      <c r="C252" s="9"/>
      <c r="D252" s="4"/>
      <c r="E252" s="4">
        <f>IF(OR(C252="",D252=""),"",C252*D252)</f>
      </c>
      <c r="F252" s="6"/>
    </row>
    <row r="253">
      <c r="A253" s="9">
        <v>250</v>
      </c>
      <c r="B253" s="7"/>
      <c r="C253" s="9"/>
      <c r="D253" s="4"/>
      <c r="E253" s="4">
        <f>IF(OR(C253="",D253=""),"",C253*D253)</f>
      </c>
      <c r="F253" s="6"/>
    </row>
    <row r="254">
      <c r="A254" s="9">
        <v>251</v>
      </c>
      <c r="B254" s="7"/>
      <c r="C254" s="9"/>
      <c r="D254" s="4"/>
      <c r="E254" s="4">
        <f>IF(OR(C254="",D254=""),"",C254*D254)</f>
      </c>
      <c r="F254" s="6"/>
    </row>
    <row r="255">
      <c r="A255" s="9">
        <v>252</v>
      </c>
      <c r="B255" s="7"/>
      <c r="C255" s="9"/>
      <c r="D255" s="4"/>
      <c r="E255" s="4">
        <f>IF(OR(C255="",D255=""),"",C255*D255)</f>
      </c>
      <c r="F255" s="6"/>
    </row>
    <row r="256">
      <c r="A256" s="9">
        <v>253</v>
      </c>
      <c r="B256" s="7"/>
      <c r="C256" s="9"/>
      <c r="D256" s="4"/>
      <c r="E256" s="4">
        <f>IF(OR(C256="",D256=""),"",C256*D256)</f>
      </c>
      <c r="F256" s="6"/>
    </row>
    <row r="257">
      <c r="A257" s="9">
        <v>254</v>
      </c>
      <c r="B257" s="7"/>
      <c r="C257" s="9"/>
      <c r="D257" s="4"/>
      <c r="E257" s="4">
        <f>IF(OR(C257="",D257=""),"",C257*D257)</f>
      </c>
      <c r="F257" s="6"/>
    </row>
    <row r="258">
      <c r="A258" s="9">
        <v>255</v>
      </c>
      <c r="B258" s="7"/>
      <c r="C258" s="9"/>
      <c r="D258" s="4"/>
      <c r="E258" s="4">
        <f>IF(OR(C258="",D258=""),"",C258*D258)</f>
      </c>
      <c r="F258" s="6"/>
    </row>
    <row r="259">
      <c r="A259" s="9">
        <v>256</v>
      </c>
      <c r="B259" s="7"/>
      <c r="C259" s="9"/>
      <c r="D259" s="4"/>
      <c r="E259" s="4">
        <f>IF(OR(C259="",D259=""),"",C259*D259)</f>
      </c>
      <c r="F259" s="6"/>
    </row>
    <row r="260">
      <c r="A260" s="9">
        <v>257</v>
      </c>
      <c r="B260" s="7"/>
      <c r="C260" s="9"/>
      <c r="D260" s="4"/>
      <c r="E260" s="4">
        <f>IF(OR(C260="",D260=""),"",C260*D260)</f>
      </c>
      <c r="F260" s="6"/>
    </row>
    <row r="261">
      <c r="A261" s="9">
        <v>258</v>
      </c>
      <c r="B261" s="7"/>
      <c r="C261" s="9"/>
      <c r="D261" s="4"/>
      <c r="E261" s="4">
        <f>IF(OR(C261="",D261=""),"",C261*D261)</f>
      </c>
      <c r="F261" s="6"/>
    </row>
    <row r="262">
      <c r="A262" s="9">
        <v>259</v>
      </c>
      <c r="B262" s="7"/>
      <c r="C262" s="9"/>
      <c r="D262" s="4"/>
      <c r="E262" s="4">
        <f>IF(OR(C262="",D262=""),"",C262*D262)</f>
      </c>
      <c r="F262" s="6"/>
    </row>
    <row r="263">
      <c r="A263" s="9">
        <v>260</v>
      </c>
      <c r="B263" s="7"/>
      <c r="C263" s="9"/>
      <c r="D263" s="4"/>
      <c r="E263" s="4">
        <f>IF(OR(C263="",D263=""),"",C263*D263)</f>
      </c>
      <c r="F263" s="6"/>
    </row>
    <row r="264">
      <c r="A264" s="9">
        <v>261</v>
      </c>
      <c r="B264" s="7"/>
      <c r="C264" s="9"/>
      <c r="D264" s="4"/>
      <c r="E264" s="4">
        <f>IF(OR(C264="",D264=""),"",C264*D264)</f>
      </c>
      <c r="F264" s="6"/>
    </row>
    <row r="265">
      <c r="A265" s="9">
        <v>262</v>
      </c>
      <c r="B265" s="7"/>
      <c r="C265" s="9"/>
      <c r="D265" s="4"/>
      <c r="E265" s="4">
        <f>IF(OR(C265="",D265=""),"",C265*D265)</f>
      </c>
      <c r="F265" s="6"/>
    </row>
    <row r="266">
      <c r="A266" s="9">
        <v>263</v>
      </c>
      <c r="B266" s="7"/>
      <c r="C266" s="9"/>
      <c r="D266" s="4"/>
      <c r="E266" s="4">
        <f>IF(OR(C266="",D266=""),"",C266*D266)</f>
      </c>
      <c r="F266" s="6"/>
    </row>
    <row r="267">
      <c r="A267" s="9">
        <v>264</v>
      </c>
      <c r="B267" s="7"/>
      <c r="C267" s="9"/>
      <c r="D267" s="4"/>
      <c r="E267" s="4">
        <f>IF(OR(C267="",D267=""),"",C267*D267)</f>
      </c>
      <c r="F267" s="6"/>
    </row>
    <row r="268">
      <c r="A268" s="9">
        <v>265</v>
      </c>
      <c r="B268" s="7"/>
      <c r="C268" s="9"/>
      <c r="D268" s="4"/>
      <c r="E268" s="4">
        <f>IF(OR(C268="",D268=""),"",C268*D268)</f>
      </c>
      <c r="F268" s="6"/>
    </row>
    <row r="269">
      <c r="A269" s="9">
        <v>266</v>
      </c>
      <c r="B269" s="7"/>
      <c r="C269" s="9"/>
      <c r="D269" s="4"/>
      <c r="E269" s="4">
        <f>IF(OR(C269="",D269=""),"",C269*D269)</f>
      </c>
      <c r="F269" s="6"/>
    </row>
    <row r="270">
      <c r="A270" s="9">
        <v>267</v>
      </c>
      <c r="B270" s="7"/>
      <c r="C270" s="9"/>
      <c r="D270" s="4"/>
      <c r="E270" s="4">
        <f>IF(OR(C270="",D270=""),"",C270*D270)</f>
      </c>
      <c r="F270" s="6"/>
    </row>
    <row r="271">
      <c r="A271" s="9">
        <v>268</v>
      </c>
      <c r="B271" s="7"/>
      <c r="C271" s="9"/>
      <c r="D271" s="4"/>
      <c r="E271" s="4">
        <f>IF(OR(C271="",D271=""),"",C271*D271)</f>
      </c>
      <c r="F271" s="6"/>
    </row>
    <row r="272">
      <c r="A272" s="9">
        <v>269</v>
      </c>
      <c r="B272" s="7"/>
      <c r="C272" s="9"/>
      <c r="D272" s="4"/>
      <c r="E272" s="4">
        <f>IF(OR(C272="",D272=""),"",C272*D272)</f>
      </c>
      <c r="F272" s="6"/>
    </row>
    <row r="273">
      <c r="A273" s="9">
        <v>270</v>
      </c>
      <c r="B273" s="7"/>
      <c r="C273" s="9"/>
      <c r="D273" s="4"/>
      <c r="E273" s="4">
        <f>IF(OR(C273="",D273=""),"",C273*D273)</f>
      </c>
      <c r="F273" s="6"/>
    </row>
    <row r="274">
      <c r="A274" s="9">
        <v>271</v>
      </c>
      <c r="B274" s="7"/>
      <c r="C274" s="9"/>
      <c r="D274" s="4"/>
      <c r="E274" s="4">
        <f>IF(OR(C274="",D274=""),"",C274*D274)</f>
      </c>
      <c r="F274" s="6"/>
    </row>
    <row r="275">
      <c r="A275" s="9">
        <v>272</v>
      </c>
      <c r="B275" s="7"/>
      <c r="C275" s="9"/>
      <c r="D275" s="4"/>
      <c r="E275" s="4">
        <f>IF(OR(C275="",D275=""),"",C275*D275)</f>
      </c>
      <c r="F275" s="6"/>
    </row>
    <row r="276">
      <c r="A276" s="9">
        <v>273</v>
      </c>
      <c r="B276" s="7"/>
      <c r="C276" s="9"/>
      <c r="D276" s="4"/>
      <c r="E276" s="4">
        <f>IF(OR(C276="",D276=""),"",C276*D276)</f>
      </c>
      <c r="F276" s="6"/>
    </row>
    <row r="277">
      <c r="A277" s="9">
        <v>274</v>
      </c>
      <c r="B277" s="7"/>
      <c r="C277" s="9"/>
      <c r="D277" s="4"/>
      <c r="E277" s="4">
        <f>IF(OR(C277="",D277=""),"",C277*D277)</f>
      </c>
      <c r="F277" s="6"/>
    </row>
    <row r="278">
      <c r="A278" s="9">
        <v>275</v>
      </c>
      <c r="B278" s="7"/>
      <c r="C278" s="9"/>
      <c r="D278" s="4"/>
      <c r="E278" s="4">
        <f>IF(OR(C278="",D278=""),"",C278*D278)</f>
      </c>
      <c r="F278" s="6"/>
    </row>
    <row r="279">
      <c r="A279" s="9">
        <v>276</v>
      </c>
      <c r="B279" s="7"/>
      <c r="C279" s="9"/>
      <c r="D279" s="4"/>
      <c r="E279" s="4">
        <f>IF(OR(C279="",D279=""),"",C279*D279)</f>
      </c>
      <c r="F279" s="6"/>
    </row>
    <row r="280">
      <c r="A280" s="9">
        <v>277</v>
      </c>
      <c r="B280" s="7"/>
      <c r="C280" s="9"/>
      <c r="D280" s="4"/>
      <c r="E280" s="4">
        <f>IF(OR(C280="",D280=""),"",C280*D280)</f>
      </c>
      <c r="F280" s="6"/>
    </row>
    <row r="281">
      <c r="A281" s="9">
        <v>278</v>
      </c>
      <c r="B281" s="7"/>
      <c r="C281" s="9"/>
      <c r="D281" s="4"/>
      <c r="E281" s="4">
        <f>IF(OR(C281="",D281=""),"",C281*D281)</f>
      </c>
      <c r="F281" s="6"/>
    </row>
    <row r="282">
      <c r="A282" s="9">
        <v>279</v>
      </c>
      <c r="B282" s="7"/>
      <c r="C282" s="9"/>
      <c r="D282" s="4"/>
      <c r="E282" s="4">
        <f>IF(OR(C282="",D282=""),"",C282*D282)</f>
      </c>
      <c r="F282" s="6"/>
    </row>
    <row r="283">
      <c r="A283" s="9">
        <v>280</v>
      </c>
      <c r="B283" s="7"/>
      <c r="C283" s="9"/>
      <c r="D283" s="4"/>
      <c r="E283" s="4">
        <f>IF(OR(C283="",D283=""),"",C283*D283)</f>
      </c>
      <c r="F283" s="6"/>
    </row>
    <row r="284">
      <c r="A284" s="9">
        <v>281</v>
      </c>
      <c r="B284" s="7"/>
      <c r="C284" s="9"/>
      <c r="D284" s="4"/>
      <c r="E284" s="4">
        <f>IF(OR(C284="",D284=""),"",C284*D284)</f>
      </c>
      <c r="F284" s="6"/>
    </row>
    <row r="285">
      <c r="A285" s="9">
        <v>282</v>
      </c>
      <c r="B285" s="7"/>
      <c r="C285" s="9"/>
      <c r="D285" s="4"/>
      <c r="E285" s="4">
        <f>IF(OR(C285="",D285=""),"",C285*D285)</f>
      </c>
      <c r="F285" s="6"/>
    </row>
    <row r="286">
      <c r="A286" s="9">
        <v>283</v>
      </c>
      <c r="B286" s="7"/>
      <c r="C286" s="9"/>
      <c r="D286" s="4"/>
      <c r="E286" s="4">
        <f>IF(OR(C286="",D286=""),"",C286*D286)</f>
      </c>
      <c r="F286" s="6"/>
    </row>
    <row r="287">
      <c r="A287" s="9">
        <v>284</v>
      </c>
      <c r="B287" s="7"/>
      <c r="C287" s="9"/>
      <c r="D287" s="4"/>
      <c r="E287" s="4">
        <f>IF(OR(C287="",D287=""),"",C287*D287)</f>
      </c>
      <c r="F287" s="6"/>
    </row>
    <row r="288">
      <c r="A288" s="9">
        <v>285</v>
      </c>
      <c r="B288" s="7"/>
      <c r="C288" s="9"/>
      <c r="D288" s="4"/>
      <c r="E288" s="4">
        <f>IF(OR(C288="",D288=""),"",C288*D288)</f>
      </c>
      <c r="F288" s="6"/>
    </row>
    <row r="289">
      <c r="A289" s="9">
        <v>286</v>
      </c>
      <c r="B289" s="7"/>
      <c r="C289" s="9"/>
      <c r="D289" s="4"/>
      <c r="E289" s="4">
        <f>IF(OR(C289="",D289=""),"",C289*D289)</f>
      </c>
      <c r="F289" s="6"/>
    </row>
    <row r="290">
      <c r="A290" s="9">
        <v>287</v>
      </c>
      <c r="B290" s="7"/>
      <c r="C290" s="9"/>
      <c r="D290" s="4"/>
      <c r="E290" s="4">
        <f>IF(OR(C290="",D290=""),"",C290*D290)</f>
      </c>
      <c r="F290" s="6"/>
    </row>
    <row r="291">
      <c r="A291" s="9">
        <v>288</v>
      </c>
      <c r="B291" s="7"/>
      <c r="C291" s="9"/>
      <c r="D291" s="4"/>
      <c r="E291" s="4">
        <f>IF(OR(C291="",D291=""),"",C291*D291)</f>
      </c>
      <c r="F291" s="6"/>
    </row>
    <row r="292">
      <c r="A292" s="9">
        <v>289</v>
      </c>
      <c r="B292" s="7"/>
      <c r="C292" s="9"/>
      <c r="D292" s="4"/>
      <c r="E292" s="4">
        <f>IF(OR(C292="",D292=""),"",C292*D292)</f>
      </c>
      <c r="F292" s="6"/>
    </row>
    <row r="293">
      <c r="A293" s="9">
        <v>290</v>
      </c>
      <c r="B293" s="7"/>
      <c r="C293" s="9"/>
      <c r="D293" s="4"/>
      <c r="E293" s="4">
        <f>IF(OR(C293="",D293=""),"",C293*D293)</f>
      </c>
      <c r="F293" s="6"/>
    </row>
    <row r="294">
      <c r="A294" s="9">
        <v>291</v>
      </c>
      <c r="B294" s="7"/>
      <c r="C294" s="9"/>
      <c r="D294" s="4"/>
      <c r="E294" s="4">
        <f>IF(OR(C294="",D294=""),"",C294*D294)</f>
      </c>
      <c r="F294" s="6"/>
    </row>
    <row r="295">
      <c r="A295" s="9">
        <v>292</v>
      </c>
      <c r="B295" s="7"/>
      <c r="C295" s="9"/>
      <c r="D295" s="4"/>
      <c r="E295" s="4">
        <f>IF(OR(C295="",D295=""),"",C295*D295)</f>
      </c>
      <c r="F295" s="6"/>
    </row>
    <row r="296">
      <c r="A296" s="9">
        <v>293</v>
      </c>
      <c r="B296" s="7"/>
      <c r="C296" s="9"/>
      <c r="D296" s="4"/>
      <c r="E296" s="4">
        <f>IF(OR(C296="",D296=""),"",C296*D296)</f>
      </c>
      <c r="F296" s="6"/>
    </row>
    <row r="297">
      <c r="A297" s="9">
        <v>294</v>
      </c>
      <c r="B297" s="7"/>
      <c r="C297" s="9"/>
      <c r="D297" s="4"/>
      <c r="E297" s="4">
        <f>IF(OR(C297="",D297=""),"",C297*D297)</f>
      </c>
      <c r="F297" s="6"/>
    </row>
    <row r="298">
      <c r="A298" s="9">
        <v>295</v>
      </c>
      <c r="B298" s="7"/>
      <c r="C298" s="9"/>
      <c r="D298" s="4"/>
      <c r="E298" s="4">
        <f>IF(OR(C298="",D298=""),"",C298*D298)</f>
      </c>
      <c r="F298" s="6"/>
    </row>
    <row r="299">
      <c r="A299" s="9">
        <v>296</v>
      </c>
      <c r="B299" s="7"/>
      <c r="C299" s="9"/>
      <c r="D299" s="4"/>
      <c r="E299" s="4">
        <f>IF(OR(C299="",D299=""),"",C299*D299)</f>
      </c>
      <c r="F299" s="6"/>
    </row>
    <row r="300">
      <c r="A300" s="9">
        <v>297</v>
      </c>
      <c r="B300" s="7"/>
      <c r="C300" s="9"/>
      <c r="D300" s="4"/>
      <c r="E300" s="4">
        <f>IF(OR(C300="",D300=""),"",C300*D300)</f>
      </c>
      <c r="F300" s="6"/>
    </row>
    <row r="301">
      <c r="A301" s="9">
        <v>298</v>
      </c>
      <c r="B301" s="7"/>
      <c r="C301" s="9"/>
      <c r="D301" s="4"/>
      <c r="E301" s="4">
        <f>IF(OR(C301="",D301=""),"",C301*D301)</f>
      </c>
      <c r="F301" s="6"/>
    </row>
    <row r="302">
      <c r="A302" s="9">
        <v>299</v>
      </c>
      <c r="B302" s="7"/>
      <c r="C302" s="9"/>
      <c r="D302" s="4"/>
      <c r="E302" s="4">
        <f>IF(OR(C302="",D302=""),"",C302*D302)</f>
      </c>
      <c r="F302" s="6"/>
    </row>
    <row r="303">
      <c r="A303" s="9">
        <v>300</v>
      </c>
      <c r="B303" s="7"/>
      <c r="C303" s="9"/>
      <c r="D303" s="4"/>
      <c r="E303" s="4">
        <f>IF(OR(C303="",D303=""),"",C303*D303)</f>
      </c>
      <c r="F303" s="6"/>
    </row>
    <row r="304">
      <c r="A304" s="9">
        <v>301</v>
      </c>
      <c r="B304" s="7"/>
      <c r="C304" s="9"/>
      <c r="D304" s="4"/>
      <c r="E304" s="4">
        <f>IF(OR(C304="",D304=""),"",C304*D304)</f>
      </c>
      <c r="F304" s="6"/>
    </row>
    <row r="305">
      <c r="A305" s="9">
        <v>302</v>
      </c>
      <c r="B305" s="7"/>
      <c r="C305" s="9"/>
      <c r="D305" s="4"/>
      <c r="E305" s="4">
        <f>IF(OR(C305="",D305=""),"",C305*D305)</f>
      </c>
      <c r="F305" s="6"/>
    </row>
    <row r="306">
      <c r="A306" s="9">
        <v>303</v>
      </c>
      <c r="B306" s="7"/>
      <c r="C306" s="9"/>
      <c r="D306" s="4"/>
      <c r="E306" s="4">
        <f>IF(OR(C306="",D306=""),"",C306*D306)</f>
      </c>
      <c r="F306" s="6"/>
    </row>
    <row r="307">
      <c r="A307" s="9">
        <v>304</v>
      </c>
      <c r="B307" s="7"/>
      <c r="C307" s="9"/>
      <c r="D307" s="4"/>
      <c r="E307" s="4">
        <f>IF(OR(C307="",D307=""),"",C307*D307)</f>
      </c>
      <c r="F307" s="6"/>
    </row>
    <row r="308">
      <c r="A308" s="9">
        <v>305</v>
      </c>
      <c r="B308" s="7"/>
      <c r="C308" s="9"/>
      <c r="D308" s="4"/>
      <c r="E308" s="4">
        <f>IF(OR(C308="",D308=""),"",C308*D308)</f>
      </c>
      <c r="F308" s="6"/>
    </row>
    <row r="309">
      <c r="A309" s="9">
        <v>306</v>
      </c>
      <c r="B309" s="7"/>
      <c r="C309" s="9"/>
      <c r="D309" s="4"/>
      <c r="E309" s="4">
        <f>IF(OR(C309="",D309=""),"",C309*D309)</f>
      </c>
      <c r="F309" s="6"/>
    </row>
    <row r="310">
      <c r="A310" s="9">
        <v>307</v>
      </c>
      <c r="B310" s="7"/>
      <c r="C310" s="9"/>
      <c r="D310" s="4"/>
      <c r="E310" s="4">
        <f>IF(OR(C310="",D310=""),"",C310*D310)</f>
      </c>
      <c r="F310" s="6"/>
    </row>
    <row r="311">
      <c r="A311" s="9">
        <v>308</v>
      </c>
      <c r="B311" s="7"/>
      <c r="C311" s="9"/>
      <c r="D311" s="4"/>
      <c r="E311" s="4">
        <f>IF(OR(C311="",D311=""),"",C311*D311)</f>
      </c>
      <c r="F311" s="6"/>
    </row>
    <row r="312">
      <c r="A312" s="9">
        <v>309</v>
      </c>
      <c r="B312" s="7"/>
      <c r="C312" s="9"/>
      <c r="D312" s="4"/>
      <c r="E312" s="4">
        <f>IF(OR(C312="",D312=""),"",C312*D312)</f>
      </c>
      <c r="F312" s="6"/>
    </row>
    <row r="313">
      <c r="A313" s="9">
        <v>310</v>
      </c>
      <c r="B313" s="7"/>
      <c r="C313" s="9"/>
      <c r="D313" s="4"/>
      <c r="E313" s="4">
        <f>IF(OR(C313="",D313=""),"",C313*D313)</f>
      </c>
      <c r="F313" s="6"/>
    </row>
    <row r="314">
      <c r="A314" s="9">
        <v>311</v>
      </c>
      <c r="B314" s="7"/>
      <c r="C314" s="9"/>
      <c r="D314" s="4"/>
      <c r="E314" s="4">
        <f>IF(OR(C314="",D314=""),"",C314*D314)</f>
      </c>
      <c r="F314" s="6"/>
    </row>
    <row r="315">
      <c r="A315" s="9">
        <v>312</v>
      </c>
      <c r="B315" s="7"/>
      <c r="C315" s="9"/>
      <c r="D315" s="4"/>
      <c r="E315" s="4">
        <f>IF(OR(C315="",D315=""),"",C315*D315)</f>
      </c>
      <c r="F315" s="6"/>
    </row>
    <row r="316">
      <c r="A316" s="9">
        <v>313</v>
      </c>
      <c r="B316" s="7"/>
      <c r="C316" s="9"/>
      <c r="D316" s="4"/>
      <c r="E316" s="4">
        <f>IF(OR(C316="",D316=""),"",C316*D316)</f>
      </c>
      <c r="F316" s="6"/>
    </row>
    <row r="317">
      <c r="A317" s="9">
        <v>314</v>
      </c>
      <c r="B317" s="7"/>
      <c r="C317" s="9"/>
      <c r="D317" s="4"/>
      <c r="E317" s="4">
        <f>IF(OR(C317="",D317=""),"",C317*D317)</f>
      </c>
      <c r="F317" s="6"/>
    </row>
    <row r="318">
      <c r="A318" s="9">
        <v>315</v>
      </c>
      <c r="B318" s="7"/>
      <c r="C318" s="9"/>
      <c r="D318" s="4"/>
      <c r="E318" s="4">
        <f>IF(OR(C318="",D318=""),"",C318*D318)</f>
      </c>
      <c r="F318" s="6"/>
    </row>
    <row r="319">
      <c r="A319" s="9">
        <v>316</v>
      </c>
      <c r="B319" s="7"/>
      <c r="C319" s="9"/>
      <c r="D319" s="4"/>
      <c r="E319" s="4">
        <f>IF(OR(C319="",D319=""),"",C319*D319)</f>
      </c>
      <c r="F319" s="6"/>
    </row>
    <row r="320">
      <c r="A320" s="9">
        <v>317</v>
      </c>
      <c r="B320" s="7"/>
      <c r="C320" s="9"/>
      <c r="D320" s="4"/>
      <c r="E320" s="4">
        <f>IF(OR(C320="",D320=""),"",C320*D320)</f>
      </c>
      <c r="F320" s="6"/>
    </row>
    <row r="321">
      <c r="A321" s="9">
        <v>318</v>
      </c>
      <c r="B321" s="7"/>
      <c r="C321" s="9"/>
      <c r="D321" s="4"/>
      <c r="E321" s="4">
        <f>IF(OR(C321="",D321=""),"",C321*D321)</f>
      </c>
      <c r="F321" s="6"/>
    </row>
    <row r="322">
      <c r="A322" s="9">
        <v>319</v>
      </c>
      <c r="B322" s="7"/>
      <c r="C322" s="9"/>
      <c r="D322" s="4"/>
      <c r="E322" s="4">
        <f>IF(OR(C322="",D322=""),"",C322*D322)</f>
      </c>
      <c r="F322" s="6"/>
    </row>
    <row r="323">
      <c r="A323" s="9">
        <v>320</v>
      </c>
      <c r="B323" s="7"/>
      <c r="C323" s="9"/>
      <c r="D323" s="4"/>
      <c r="E323" s="4">
        <f>IF(OR(C323="",D323=""),"",C323*D323)</f>
      </c>
      <c r="F323" s="6"/>
    </row>
    <row r="324">
      <c r="A324" s="9">
        <v>321</v>
      </c>
      <c r="B324" s="7"/>
      <c r="C324" s="9"/>
      <c r="D324" s="4"/>
      <c r="E324" s="4">
        <f>IF(OR(C324="",D324=""),"",C324*D324)</f>
      </c>
      <c r="F324" s="6"/>
    </row>
    <row r="325">
      <c r="A325" s="9">
        <v>322</v>
      </c>
      <c r="B325" s="7"/>
      <c r="C325" s="9"/>
      <c r="D325" s="4"/>
      <c r="E325" s="4">
        <f>IF(OR(C325="",D325=""),"",C325*D325)</f>
      </c>
      <c r="F325" s="6"/>
    </row>
    <row r="326">
      <c r="A326" s="9">
        <v>323</v>
      </c>
      <c r="B326" s="7"/>
      <c r="C326" s="9"/>
      <c r="D326" s="4"/>
      <c r="E326" s="4">
        <f>IF(OR(C326="",D326=""),"",C326*D326)</f>
      </c>
      <c r="F326" s="6"/>
    </row>
    <row r="327">
      <c r="A327" s="9">
        <v>324</v>
      </c>
      <c r="B327" s="7"/>
      <c r="C327" s="9"/>
      <c r="D327" s="4"/>
      <c r="E327" s="4">
        <f>IF(OR(C327="",D327=""),"",C327*D327)</f>
      </c>
      <c r="F327" s="6"/>
    </row>
    <row r="328">
      <c r="A328" s="9">
        <v>325</v>
      </c>
      <c r="B328" s="7"/>
      <c r="C328" s="9"/>
      <c r="D328" s="4"/>
      <c r="E328" s="4">
        <f>IF(OR(C328="",D328=""),"",C328*D328)</f>
      </c>
      <c r="F328" s="6"/>
    </row>
    <row r="329">
      <c r="A329" s="9">
        <v>326</v>
      </c>
      <c r="B329" s="7"/>
      <c r="C329" s="9"/>
      <c r="D329" s="4"/>
      <c r="E329" s="4">
        <f>IF(OR(C329="",D329=""),"",C329*D329)</f>
      </c>
      <c r="F329" s="6"/>
    </row>
    <row r="330">
      <c r="A330" s="9">
        <v>327</v>
      </c>
      <c r="B330" s="7"/>
      <c r="C330" s="9"/>
      <c r="D330" s="4"/>
      <c r="E330" s="4">
        <f>IF(OR(C330="",D330=""),"",C330*D330)</f>
      </c>
      <c r="F330" s="6"/>
    </row>
    <row r="331">
      <c r="A331" s="9">
        <v>328</v>
      </c>
      <c r="B331" s="7"/>
      <c r="C331" s="9"/>
      <c r="D331" s="4"/>
      <c r="E331" s="4">
        <f>IF(OR(C331="",D331=""),"",C331*D331)</f>
      </c>
      <c r="F331" s="6"/>
    </row>
    <row r="332">
      <c r="A332" s="9">
        <v>329</v>
      </c>
      <c r="B332" s="7"/>
      <c r="C332" s="9"/>
      <c r="D332" s="4"/>
      <c r="E332" s="4">
        <f>IF(OR(C332="",D332=""),"",C332*D332)</f>
      </c>
      <c r="F332" s="6"/>
    </row>
    <row r="333">
      <c r="A333" s="9">
        <v>330</v>
      </c>
      <c r="B333" s="7"/>
      <c r="C333" s="9"/>
      <c r="D333" s="4"/>
      <c r="E333" s="4">
        <f>IF(OR(C333="",D333=""),"",C333*D333)</f>
      </c>
      <c r="F333" s="6"/>
    </row>
    <row r="334">
      <c r="A334" s="9">
        <v>331</v>
      </c>
      <c r="B334" s="7"/>
      <c r="C334" s="9"/>
      <c r="D334" s="4"/>
      <c r="E334" s="4">
        <f>IF(OR(C334="",D334=""),"",C334*D334)</f>
      </c>
      <c r="F334" s="6"/>
    </row>
    <row r="335">
      <c r="A335" s="9">
        <v>332</v>
      </c>
      <c r="B335" s="7"/>
      <c r="C335" s="9"/>
      <c r="D335" s="4"/>
      <c r="E335" s="4">
        <f>IF(OR(C335="",D335=""),"",C335*D335)</f>
      </c>
      <c r="F335" s="6"/>
    </row>
    <row r="336">
      <c r="A336" s="9">
        <v>333</v>
      </c>
      <c r="B336" s="7"/>
      <c r="C336" s="9"/>
      <c r="D336" s="4"/>
      <c r="E336" s="4">
        <f>IF(OR(C336="",D336=""),"",C336*D336)</f>
      </c>
      <c r="F336" s="6"/>
    </row>
    <row r="337">
      <c r="A337" s="9">
        <v>334</v>
      </c>
      <c r="B337" s="7"/>
      <c r="C337" s="9"/>
      <c r="D337" s="4"/>
      <c r="E337" s="4">
        <f>IF(OR(C337="",D337=""),"",C337*D337)</f>
      </c>
      <c r="F337" s="6"/>
    </row>
    <row r="338">
      <c r="A338" s="9">
        <v>335</v>
      </c>
      <c r="B338" s="7"/>
      <c r="C338" s="9"/>
      <c r="D338" s="4"/>
      <c r="E338" s="4">
        <f>IF(OR(C338="",D338=""),"",C338*D338)</f>
      </c>
      <c r="F338" s="6"/>
    </row>
    <row r="339">
      <c r="A339" s="9">
        <v>336</v>
      </c>
      <c r="B339" s="7"/>
      <c r="C339" s="9"/>
      <c r="D339" s="4"/>
      <c r="E339" s="4">
        <f>IF(OR(C339="",D339=""),"",C339*D339)</f>
      </c>
      <c r="F339" s="6"/>
    </row>
    <row r="340">
      <c r="A340" s="9">
        <v>337</v>
      </c>
      <c r="B340" s="7"/>
      <c r="C340" s="9"/>
      <c r="D340" s="4"/>
      <c r="E340" s="4">
        <f>IF(OR(C340="",D340=""),"",C340*D340)</f>
      </c>
      <c r="F340" s="6"/>
    </row>
    <row r="341">
      <c r="A341" s="9">
        <v>338</v>
      </c>
      <c r="B341" s="7"/>
      <c r="C341" s="9"/>
      <c r="D341" s="4"/>
      <c r="E341" s="4">
        <f>IF(OR(C341="",D341=""),"",C341*D341)</f>
      </c>
      <c r="F341" s="6"/>
    </row>
    <row r="342">
      <c r="A342" s="9">
        <v>339</v>
      </c>
      <c r="B342" s="7"/>
      <c r="C342" s="9"/>
      <c r="D342" s="4"/>
      <c r="E342" s="4">
        <f>IF(OR(C342="",D342=""),"",C342*D342)</f>
      </c>
      <c r="F342" s="6"/>
    </row>
    <row r="343">
      <c r="A343" s="9">
        <v>340</v>
      </c>
      <c r="B343" s="7"/>
      <c r="C343" s="9"/>
      <c r="D343" s="4"/>
      <c r="E343" s="4">
        <f>IF(OR(C343="",D343=""),"",C343*D343)</f>
      </c>
      <c r="F343" s="6"/>
    </row>
    <row r="344">
      <c r="A344" s="9">
        <v>341</v>
      </c>
      <c r="B344" s="7"/>
      <c r="C344" s="9"/>
      <c r="D344" s="4"/>
      <c r="E344" s="4">
        <f>IF(OR(C344="",D344=""),"",C344*D344)</f>
      </c>
      <c r="F344" s="6"/>
    </row>
    <row r="345">
      <c r="A345" s="9">
        <v>342</v>
      </c>
      <c r="B345" s="7"/>
      <c r="C345" s="9"/>
      <c r="D345" s="4"/>
      <c r="E345" s="4">
        <f>IF(OR(C345="",D345=""),"",C345*D345)</f>
      </c>
      <c r="F345" s="6"/>
    </row>
    <row r="346">
      <c r="A346" s="9">
        <v>343</v>
      </c>
      <c r="B346" s="7"/>
      <c r="C346" s="9"/>
      <c r="D346" s="4"/>
      <c r="E346" s="4">
        <f>IF(OR(C346="",D346=""),"",C346*D346)</f>
      </c>
      <c r="F346" s="6"/>
    </row>
    <row r="347">
      <c r="A347" s="9">
        <v>344</v>
      </c>
      <c r="B347" s="7"/>
      <c r="C347" s="9"/>
      <c r="D347" s="4"/>
      <c r="E347" s="4">
        <f>IF(OR(C347="",D347=""),"",C347*D347)</f>
      </c>
      <c r="F347" s="6"/>
    </row>
    <row r="348">
      <c r="A348" s="9">
        <v>345</v>
      </c>
      <c r="B348" s="7"/>
      <c r="C348" s="9"/>
      <c r="D348" s="4"/>
      <c r="E348" s="4">
        <f>IF(OR(C348="",D348=""),"",C348*D348)</f>
      </c>
      <c r="F348" s="6"/>
    </row>
    <row r="349">
      <c r="A349" s="9">
        <v>346</v>
      </c>
      <c r="B349" s="7"/>
      <c r="C349" s="9"/>
      <c r="D349" s="4"/>
      <c r="E349" s="4">
        <f>IF(OR(C349="",D349=""),"",C349*D349)</f>
      </c>
      <c r="F349" s="6"/>
    </row>
    <row r="350">
      <c r="A350" s="9">
        <v>347</v>
      </c>
      <c r="B350" s="7"/>
      <c r="C350" s="9"/>
      <c r="D350" s="4"/>
      <c r="E350" s="4">
        <f>IF(OR(C350="",D350=""),"",C350*D350)</f>
      </c>
      <c r="F350" s="6"/>
    </row>
    <row r="351">
      <c r="A351" s="9">
        <v>348</v>
      </c>
      <c r="B351" s="7"/>
      <c r="C351" s="9"/>
      <c r="D351" s="4"/>
      <c r="E351" s="4">
        <f>IF(OR(C351="",D351=""),"",C351*D351)</f>
      </c>
      <c r="F351" s="6"/>
    </row>
    <row r="352">
      <c r="A352" s="9">
        <v>349</v>
      </c>
      <c r="B352" s="7"/>
      <c r="C352" s="9"/>
      <c r="D352" s="4"/>
      <c r="E352" s="4">
        <f>IF(OR(C352="",D352=""),"",C352*D352)</f>
      </c>
      <c r="F352" s="6"/>
    </row>
    <row r="353">
      <c r="A353" s="9">
        <v>350</v>
      </c>
      <c r="B353" s="7"/>
      <c r="C353" s="9"/>
      <c r="D353" s="4"/>
      <c r="E353" s="4">
        <f>IF(OR(C353="",D353=""),"",C353*D353)</f>
      </c>
      <c r="F353" s="6"/>
    </row>
    <row r="354">
      <c r="A354" s="9">
        <v>351</v>
      </c>
      <c r="B354" s="7"/>
      <c r="C354" s="9"/>
      <c r="D354" s="4"/>
      <c r="E354" s="4">
        <f>IF(OR(C354="",D354=""),"",C354*D354)</f>
      </c>
      <c r="F354" s="6"/>
    </row>
    <row r="355">
      <c r="A355" s="9">
        <v>352</v>
      </c>
      <c r="B355" s="7"/>
      <c r="C355" s="9"/>
      <c r="D355" s="4"/>
      <c r="E355" s="4">
        <f>IF(OR(C355="",D355=""),"",C355*D355)</f>
      </c>
      <c r="F355" s="6"/>
    </row>
    <row r="356">
      <c r="A356" s="9">
        <v>353</v>
      </c>
      <c r="B356" s="7"/>
      <c r="C356" s="9"/>
      <c r="D356" s="4"/>
      <c r="E356" s="4">
        <f>IF(OR(C356="",D356=""),"",C356*D356)</f>
      </c>
      <c r="F356" s="6"/>
    </row>
    <row r="357">
      <c r="A357" s="9">
        <v>354</v>
      </c>
      <c r="B357" s="7"/>
      <c r="C357" s="9"/>
      <c r="D357" s="4"/>
      <c r="E357" s="4">
        <f>IF(OR(C357="",D357=""),"",C357*D357)</f>
      </c>
      <c r="F357" s="6"/>
    </row>
    <row r="358">
      <c r="A358" s="9">
        <v>355</v>
      </c>
      <c r="B358" s="7"/>
      <c r="C358" s="9"/>
      <c r="D358" s="4"/>
      <c r="E358" s="4">
        <f>IF(OR(C358="",D358=""),"",C358*D358)</f>
      </c>
      <c r="F358" s="6"/>
    </row>
    <row r="359">
      <c r="A359" s="9">
        <v>356</v>
      </c>
      <c r="B359" s="7"/>
      <c r="C359" s="9"/>
      <c r="D359" s="4"/>
      <c r="E359" s="4">
        <f>IF(OR(C359="",D359=""),"",C359*D359)</f>
      </c>
      <c r="F359" s="6"/>
    </row>
    <row r="360">
      <c r="A360" s="9">
        <v>357</v>
      </c>
      <c r="B360" s="7"/>
      <c r="C360" s="9"/>
      <c r="D360" s="4"/>
      <c r="E360" s="4">
        <f>IF(OR(C360="",D360=""),"",C360*D360)</f>
      </c>
      <c r="F360" s="6"/>
    </row>
    <row r="361">
      <c r="A361" s="9">
        <v>358</v>
      </c>
      <c r="B361" s="7"/>
      <c r="C361" s="9"/>
      <c r="D361" s="4"/>
      <c r="E361" s="4">
        <f>IF(OR(C361="",D361=""),"",C361*D361)</f>
      </c>
      <c r="F361" s="6"/>
    </row>
    <row r="362">
      <c r="A362" s="9">
        <v>359</v>
      </c>
      <c r="B362" s="7"/>
      <c r="C362" s="9"/>
      <c r="D362" s="4"/>
      <c r="E362" s="4">
        <f>IF(OR(C362="",D362=""),"",C362*D362)</f>
      </c>
      <c r="F362" s="6"/>
    </row>
    <row r="363">
      <c r="A363" s="9">
        <v>360</v>
      </c>
      <c r="B363" s="7"/>
      <c r="C363" s="9"/>
      <c r="D363" s="4"/>
      <c r="E363" s="4">
        <f>IF(OR(C363="",D363=""),"",C363*D363)</f>
      </c>
      <c r="F363" s="6"/>
    </row>
    <row r="364">
      <c r="A364" s="9">
        <v>361</v>
      </c>
      <c r="B364" s="7"/>
      <c r="C364" s="9"/>
      <c r="D364" s="4"/>
      <c r="E364" s="4">
        <f>IF(OR(C364="",D364=""),"",C364*D364)</f>
      </c>
      <c r="F364" s="6"/>
    </row>
    <row r="365">
      <c r="A365" s="9">
        <v>362</v>
      </c>
      <c r="B365" s="7"/>
      <c r="C365" s="9"/>
      <c r="D365" s="4"/>
      <c r="E365" s="4">
        <f>IF(OR(C365="",D365=""),"",C365*D365)</f>
      </c>
      <c r="F365" s="6"/>
    </row>
    <row r="366">
      <c r="A366" s="9">
        <v>363</v>
      </c>
      <c r="B366" s="7"/>
      <c r="C366" s="9"/>
      <c r="D366" s="4"/>
      <c r="E366" s="4">
        <f>IF(OR(C366="",D366=""),"",C366*D366)</f>
      </c>
      <c r="F366" s="6"/>
    </row>
    <row r="367">
      <c r="A367" s="9">
        <v>364</v>
      </c>
      <c r="B367" s="7"/>
      <c r="C367" s="9"/>
      <c r="D367" s="4"/>
      <c r="E367" s="4">
        <f>IF(OR(C367="",D367=""),"",C367*D367)</f>
      </c>
      <c r="F367" s="6"/>
    </row>
    <row r="368">
      <c r="A368" s="9">
        <v>365</v>
      </c>
      <c r="B368" s="7"/>
      <c r="C368" s="9"/>
      <c r="D368" s="4"/>
      <c r="E368" s="4">
        <f>IF(OR(C368="",D368=""),"",C368*D368)</f>
      </c>
      <c r="F368" s="6"/>
    </row>
    <row r="369">
      <c r="A369" s="9">
        <v>366</v>
      </c>
      <c r="B369" s="7"/>
      <c r="C369" s="9"/>
      <c r="D369" s="4"/>
      <c r="E369" s="4">
        <f>IF(OR(C369="",D369=""),"",C369*D369)</f>
      </c>
      <c r="F369" s="6"/>
    </row>
    <row r="370">
      <c r="A370" s="9">
        <v>367</v>
      </c>
      <c r="B370" s="7"/>
      <c r="C370" s="9"/>
      <c r="D370" s="4"/>
      <c r="E370" s="4">
        <f>IF(OR(C370="",D370=""),"",C370*D370)</f>
      </c>
      <c r="F370" s="6"/>
    </row>
    <row r="371">
      <c r="A371" s="9">
        <v>368</v>
      </c>
      <c r="B371" s="7"/>
      <c r="C371" s="9"/>
      <c r="D371" s="4"/>
      <c r="E371" s="4">
        <f>IF(OR(C371="",D371=""),"",C371*D371)</f>
      </c>
      <c r="F371" s="6"/>
    </row>
    <row r="372">
      <c r="A372" s="9">
        <v>369</v>
      </c>
      <c r="B372" s="7"/>
      <c r="C372" s="9"/>
      <c r="D372" s="4"/>
      <c r="E372" s="4">
        <f>IF(OR(C372="",D372=""),"",C372*D372)</f>
      </c>
      <c r="F372" s="6"/>
    </row>
    <row r="373">
      <c r="A373" s="9">
        <v>370</v>
      </c>
      <c r="B373" s="7"/>
      <c r="C373" s="9"/>
      <c r="D373" s="4"/>
      <c r="E373" s="4">
        <f>IF(OR(C373="",D373=""),"",C373*D373)</f>
      </c>
      <c r="F373" s="6"/>
    </row>
    <row r="374">
      <c r="A374" s="9">
        <v>371</v>
      </c>
      <c r="B374" s="7"/>
      <c r="C374" s="9"/>
      <c r="D374" s="4"/>
      <c r="E374" s="4">
        <f>IF(OR(C374="",D374=""),"",C374*D374)</f>
      </c>
      <c r="F374" s="6"/>
    </row>
    <row r="375">
      <c r="A375" s="9">
        <v>372</v>
      </c>
      <c r="B375" s="7"/>
      <c r="C375" s="9"/>
      <c r="D375" s="4"/>
      <c r="E375" s="4">
        <f>IF(OR(C375="",D375=""),"",C375*D375)</f>
      </c>
      <c r="F375" s="6"/>
    </row>
    <row r="376">
      <c r="A376" s="9">
        <v>373</v>
      </c>
      <c r="B376" s="7"/>
      <c r="C376" s="9"/>
      <c r="D376" s="4"/>
      <c r="E376" s="4">
        <f>IF(OR(C376="",D376=""),"",C376*D376)</f>
      </c>
      <c r="F376" s="6"/>
    </row>
    <row r="377">
      <c r="A377" s="9">
        <v>374</v>
      </c>
      <c r="B377" s="7"/>
      <c r="C377" s="9"/>
      <c r="D377" s="4"/>
      <c r="E377" s="4">
        <f>IF(OR(C377="",D377=""),"",C377*D377)</f>
      </c>
      <c r="F377" s="6"/>
    </row>
    <row r="378">
      <c r="A378" s="9">
        <v>375</v>
      </c>
      <c r="B378" s="7"/>
      <c r="C378" s="9"/>
      <c r="D378" s="4"/>
      <c r="E378" s="4">
        <f>IF(OR(C378="",D378=""),"",C378*D378)</f>
      </c>
      <c r="F378" s="6"/>
    </row>
    <row r="379">
      <c r="A379" s="9">
        <v>376</v>
      </c>
      <c r="B379" s="7"/>
      <c r="C379" s="9"/>
      <c r="D379" s="4"/>
      <c r="E379" s="4">
        <f>IF(OR(C379="",D379=""),"",C379*D379)</f>
      </c>
      <c r="F379" s="6"/>
    </row>
    <row r="380">
      <c r="A380" s="9">
        <v>377</v>
      </c>
      <c r="B380" s="7"/>
      <c r="C380" s="9"/>
      <c r="D380" s="4"/>
      <c r="E380" s="4">
        <f>IF(OR(C380="",D380=""),"",C380*D380)</f>
      </c>
      <c r="F380" s="6"/>
    </row>
    <row r="381">
      <c r="A381" s="9">
        <v>378</v>
      </c>
      <c r="B381" s="7"/>
      <c r="C381" s="9"/>
      <c r="D381" s="4"/>
      <c r="E381" s="4">
        <f>IF(OR(C381="",D381=""),"",C381*D381)</f>
      </c>
      <c r="F381" s="6"/>
    </row>
    <row r="382">
      <c r="A382" s="9">
        <v>379</v>
      </c>
      <c r="B382" s="7"/>
      <c r="C382" s="9"/>
      <c r="D382" s="4"/>
      <c r="E382" s="4">
        <f>IF(OR(C382="",D382=""),"",C382*D382)</f>
      </c>
      <c r="F382" s="6"/>
    </row>
    <row r="383">
      <c r="A383" s="9">
        <v>380</v>
      </c>
      <c r="B383" s="7"/>
      <c r="C383" s="9"/>
      <c r="D383" s="4"/>
      <c r="E383" s="4">
        <f>IF(OR(C383="",D383=""),"",C383*D383)</f>
      </c>
      <c r="F383" s="6"/>
    </row>
    <row r="384">
      <c r="A384" s="9">
        <v>381</v>
      </c>
      <c r="B384" s="7"/>
      <c r="C384" s="9"/>
      <c r="D384" s="4"/>
      <c r="E384" s="4">
        <f>IF(OR(C384="",D384=""),"",C384*D384)</f>
      </c>
      <c r="F384" s="6"/>
    </row>
    <row r="385">
      <c r="A385" s="9">
        <v>382</v>
      </c>
      <c r="B385" s="7"/>
      <c r="C385" s="9"/>
      <c r="D385" s="4"/>
      <c r="E385" s="4">
        <f>IF(OR(C385="",D385=""),"",C385*D385)</f>
      </c>
      <c r="F385" s="6"/>
    </row>
    <row r="386">
      <c r="A386" s="9">
        <v>383</v>
      </c>
      <c r="B386" s="7"/>
      <c r="C386" s="9"/>
      <c r="D386" s="4"/>
      <c r="E386" s="4">
        <f>IF(OR(C386="",D386=""),"",C386*D386)</f>
      </c>
      <c r="F386" s="6"/>
    </row>
    <row r="387">
      <c r="A387" s="9">
        <v>384</v>
      </c>
      <c r="B387" s="7"/>
      <c r="C387" s="9"/>
      <c r="D387" s="4"/>
      <c r="E387" s="4">
        <f>IF(OR(C387="",D387=""),"",C387*D387)</f>
      </c>
      <c r="F387" s="6"/>
    </row>
    <row r="388">
      <c r="A388" s="9">
        <v>385</v>
      </c>
      <c r="B388" s="7"/>
      <c r="C388" s="9"/>
      <c r="D388" s="4"/>
      <c r="E388" s="4">
        <f>IF(OR(C388="",D388=""),"",C388*D388)</f>
      </c>
      <c r="F388" s="6"/>
    </row>
    <row r="389">
      <c r="A389" s="9">
        <v>386</v>
      </c>
      <c r="B389" s="7"/>
      <c r="C389" s="9"/>
      <c r="D389" s="4"/>
      <c r="E389" s="4">
        <f>IF(OR(C389="",D389=""),"",C389*D389)</f>
      </c>
      <c r="F389" s="6"/>
    </row>
    <row r="390">
      <c r="A390" s="9">
        <v>387</v>
      </c>
      <c r="B390" s="7"/>
      <c r="C390" s="9"/>
      <c r="D390" s="4"/>
      <c r="E390" s="4">
        <f>IF(OR(C390="",D390=""),"",C390*D390)</f>
      </c>
      <c r="F390" s="6"/>
    </row>
    <row r="391">
      <c r="A391" s="9">
        <v>388</v>
      </c>
      <c r="B391" s="7"/>
      <c r="C391" s="9"/>
      <c r="D391" s="4"/>
      <c r="E391" s="4">
        <f>IF(OR(C391="",D391=""),"",C391*D391)</f>
      </c>
      <c r="F391" s="6"/>
    </row>
    <row r="392">
      <c r="A392" s="9">
        <v>389</v>
      </c>
      <c r="B392" s="7"/>
      <c r="C392" s="9"/>
      <c r="D392" s="4"/>
      <c r="E392" s="4">
        <f>IF(OR(C392="",D392=""),"",C392*D392)</f>
      </c>
      <c r="F392" s="6"/>
    </row>
    <row r="393">
      <c r="A393" s="9">
        <v>390</v>
      </c>
      <c r="B393" s="7"/>
      <c r="C393" s="9"/>
      <c r="D393" s="4"/>
      <c r="E393" s="4">
        <f>IF(OR(C393="",D393=""),"",C393*D393)</f>
      </c>
      <c r="F393" s="6"/>
    </row>
    <row r="394">
      <c r="A394" s="9">
        <v>391</v>
      </c>
      <c r="B394" s="7"/>
      <c r="C394" s="9"/>
      <c r="D394" s="4"/>
      <c r="E394" s="4">
        <f>IF(OR(C394="",D394=""),"",C394*D394)</f>
      </c>
      <c r="F394" s="6"/>
    </row>
    <row r="395">
      <c r="A395" s="9">
        <v>392</v>
      </c>
      <c r="B395" s="7"/>
      <c r="C395" s="9"/>
      <c r="D395" s="4"/>
      <c r="E395" s="4">
        <f>IF(OR(C395="",D395=""),"",C395*D395)</f>
      </c>
      <c r="F395" s="6"/>
    </row>
    <row r="396">
      <c r="A396" s="9">
        <v>393</v>
      </c>
      <c r="B396" s="7"/>
      <c r="C396" s="9"/>
      <c r="D396" s="4"/>
      <c r="E396" s="4">
        <f>IF(OR(C396="",D396=""),"",C396*D396)</f>
      </c>
      <c r="F396" s="6"/>
    </row>
    <row r="397">
      <c r="A397" s="9">
        <v>394</v>
      </c>
      <c r="B397" s="7"/>
      <c r="C397" s="9"/>
      <c r="D397" s="4"/>
      <c r="E397" s="4">
        <f>IF(OR(C397="",D397=""),"",C397*D397)</f>
      </c>
      <c r="F397" s="6"/>
    </row>
    <row r="398">
      <c r="A398" s="9">
        <v>395</v>
      </c>
      <c r="B398" s="7"/>
      <c r="C398" s="9"/>
      <c r="D398" s="4"/>
      <c r="E398" s="4">
        <f>IF(OR(C398="",D398=""),"",C398*D398)</f>
      </c>
      <c r="F398" s="6"/>
    </row>
    <row r="399">
      <c r="A399" s="9">
        <v>396</v>
      </c>
      <c r="B399" s="7"/>
      <c r="C399" s="9"/>
      <c r="D399" s="4"/>
      <c r="E399" s="4">
        <f>IF(OR(C399="",D399=""),"",C399*D399)</f>
      </c>
      <c r="F399" s="6"/>
    </row>
    <row r="400">
      <c r="A400" s="9">
        <v>397</v>
      </c>
      <c r="B400" s="7"/>
      <c r="C400" s="9"/>
      <c r="D400" s="4"/>
      <c r="E400" s="4">
        <f>IF(OR(C400="",D400=""),"",C400*D400)</f>
      </c>
      <c r="F400" s="6"/>
    </row>
    <row r="401">
      <c r="A401" s="9">
        <v>398</v>
      </c>
      <c r="B401" s="7"/>
      <c r="C401" s="9"/>
      <c r="D401" s="4"/>
      <c r="E401" s="4">
        <f>IF(OR(C401="",D401=""),"",C401*D401)</f>
      </c>
      <c r="F401" s="6"/>
    </row>
    <row r="402">
      <c r="A402" s="9">
        <v>399</v>
      </c>
      <c r="B402" s="7"/>
      <c r="C402" s="9"/>
      <c r="D402" s="4"/>
      <c r="E402" s="4">
        <f>IF(OR(C402="",D402=""),"",C402*D402)</f>
      </c>
      <c r="F402" s="6"/>
    </row>
    <row r="403">
      <c r="A403" s="9">
        <v>400</v>
      </c>
      <c r="B403" s="7"/>
      <c r="C403" s="9"/>
      <c r="D403" s="4"/>
      <c r="E403" s="4">
        <f>IF(OR(C403="",D403=""),"",C403*D403)</f>
      </c>
      <c r="F403" s="6"/>
    </row>
    <row r="404">
      <c r="A404" s="9">
        <v>401</v>
      </c>
      <c r="B404" s="7"/>
      <c r="C404" s="9"/>
      <c r="D404" s="4"/>
      <c r="E404" s="4">
        <f>IF(OR(C404="",D404=""),"",C404*D404)</f>
      </c>
      <c r="F404" s="6"/>
    </row>
    <row r="405">
      <c r="A405" s="9">
        <v>402</v>
      </c>
      <c r="B405" s="7"/>
      <c r="C405" s="9"/>
      <c r="D405" s="4"/>
      <c r="E405" s="4">
        <f>IF(OR(C405="",D405=""),"",C405*D405)</f>
      </c>
      <c r="F405" s="6"/>
    </row>
    <row r="406">
      <c r="A406" s="9">
        <v>403</v>
      </c>
      <c r="B406" s="7"/>
      <c r="C406" s="9"/>
      <c r="D406" s="4"/>
      <c r="E406" s="4">
        <f>IF(OR(C406="",D406=""),"",C406*D406)</f>
      </c>
      <c r="F406" s="6"/>
    </row>
    <row r="407">
      <c r="A407" s="9">
        <v>404</v>
      </c>
      <c r="B407" s="7"/>
      <c r="C407" s="9"/>
      <c r="D407" s="4"/>
      <c r="E407" s="4">
        <f>IF(OR(C407="",D407=""),"",C407*D407)</f>
      </c>
      <c r="F407" s="6"/>
    </row>
    <row r="408">
      <c r="A408" s="9">
        <v>405</v>
      </c>
      <c r="B408" s="7"/>
      <c r="C408" s="9"/>
      <c r="D408" s="4"/>
      <c r="E408" s="4">
        <f>IF(OR(C408="",D408=""),"",C408*D408)</f>
      </c>
      <c r="F408" s="6"/>
    </row>
    <row r="409">
      <c r="A409" s="9">
        <v>406</v>
      </c>
      <c r="B409" s="7"/>
      <c r="C409" s="9"/>
      <c r="D409" s="4"/>
      <c r="E409" s="4">
        <f>IF(OR(C409="",D409=""),"",C409*D409)</f>
      </c>
      <c r="F409" s="6"/>
    </row>
    <row r="410">
      <c r="A410" s="9">
        <v>407</v>
      </c>
      <c r="B410" s="7"/>
      <c r="C410" s="9"/>
      <c r="D410" s="4"/>
      <c r="E410" s="4">
        <f>IF(OR(C410="",D410=""),"",C410*D410)</f>
      </c>
      <c r="F410" s="6"/>
    </row>
    <row r="411">
      <c r="A411" s="9">
        <v>408</v>
      </c>
      <c r="B411" s="7"/>
      <c r="C411" s="9"/>
      <c r="D411" s="4"/>
      <c r="E411" s="4">
        <f>IF(OR(C411="",D411=""),"",C411*D411)</f>
      </c>
      <c r="F411" s="6"/>
    </row>
    <row r="412">
      <c r="A412" s="9">
        <v>409</v>
      </c>
      <c r="B412" s="7"/>
      <c r="C412" s="9"/>
      <c r="D412" s="4"/>
      <c r="E412" s="4">
        <f>IF(OR(C412="",D412=""),"",C412*D412)</f>
      </c>
      <c r="F412" s="6"/>
    </row>
    <row r="413">
      <c r="A413" s="9">
        <v>410</v>
      </c>
      <c r="B413" s="7"/>
      <c r="C413" s="9"/>
      <c r="D413" s="4"/>
      <c r="E413" s="4">
        <f>IF(OR(C413="",D413=""),"",C413*D413)</f>
      </c>
      <c r="F413" s="6"/>
    </row>
    <row r="414">
      <c r="A414" s="9">
        <v>411</v>
      </c>
      <c r="B414" s="7"/>
      <c r="C414" s="9"/>
      <c r="D414" s="4"/>
      <c r="E414" s="4">
        <f>IF(OR(C414="",D414=""),"",C414*D414)</f>
      </c>
      <c r="F414" s="6"/>
    </row>
    <row r="415">
      <c r="A415" s="9">
        <v>412</v>
      </c>
      <c r="B415" s="7"/>
      <c r="C415" s="9"/>
      <c r="D415" s="4"/>
      <c r="E415" s="4">
        <f>IF(OR(C415="",D415=""),"",C415*D415)</f>
      </c>
      <c r="F415" s="6"/>
    </row>
    <row r="416">
      <c r="A416" s="9">
        <v>413</v>
      </c>
      <c r="B416" s="7"/>
      <c r="C416" s="9"/>
      <c r="D416" s="4"/>
      <c r="E416" s="4">
        <f>IF(OR(C416="",D416=""),"",C416*D416)</f>
      </c>
      <c r="F416" s="6"/>
    </row>
    <row r="417">
      <c r="A417" s="9">
        <v>414</v>
      </c>
      <c r="B417" s="7"/>
      <c r="C417" s="9"/>
      <c r="D417" s="4"/>
      <c r="E417" s="4">
        <f>IF(OR(C417="",D417=""),"",C417*D417)</f>
      </c>
      <c r="F417" s="6"/>
    </row>
    <row r="418">
      <c r="A418" s="9">
        <v>415</v>
      </c>
      <c r="B418" s="7"/>
      <c r="C418" s="9"/>
      <c r="D418" s="4"/>
      <c r="E418" s="4">
        <f>IF(OR(C418="",D418=""),"",C418*D418)</f>
      </c>
      <c r="F418" s="6"/>
    </row>
    <row r="419">
      <c r="A419" s="9">
        <v>416</v>
      </c>
      <c r="B419" s="7"/>
      <c r="C419" s="9"/>
      <c r="D419" s="4"/>
      <c r="E419" s="4">
        <f>IF(OR(C419="",D419=""),"",C419*D419)</f>
      </c>
      <c r="F419" s="6"/>
    </row>
    <row r="420">
      <c r="A420" s="9">
        <v>417</v>
      </c>
      <c r="B420" s="7"/>
      <c r="C420" s="9"/>
      <c r="D420" s="4"/>
      <c r="E420" s="4">
        <f>IF(OR(C420="",D420=""),"",C420*D420)</f>
      </c>
      <c r="F420" s="6"/>
    </row>
    <row r="421">
      <c r="A421" s="9">
        <v>418</v>
      </c>
      <c r="B421" s="7"/>
      <c r="C421" s="9"/>
      <c r="D421" s="4"/>
      <c r="E421" s="4">
        <f>IF(OR(C421="",D421=""),"",C421*D421)</f>
      </c>
      <c r="F421" s="6"/>
    </row>
    <row r="422">
      <c r="A422" s="9">
        <v>419</v>
      </c>
      <c r="B422" s="7"/>
      <c r="C422" s="9"/>
      <c r="D422" s="4"/>
      <c r="E422" s="4">
        <f>IF(OR(C422="",D422=""),"",C422*D422)</f>
      </c>
      <c r="F422" s="6"/>
    </row>
    <row r="423">
      <c r="A423" s="9">
        <v>420</v>
      </c>
      <c r="B423" s="7"/>
      <c r="C423" s="9"/>
      <c r="D423" s="4"/>
      <c r="E423" s="4">
        <f>IF(OR(C423="",D423=""),"",C423*D423)</f>
      </c>
      <c r="F423" s="6"/>
    </row>
    <row r="424">
      <c r="A424" s="9">
        <v>421</v>
      </c>
      <c r="B424" s="7"/>
      <c r="C424" s="9"/>
      <c r="D424" s="4"/>
      <c r="E424" s="4">
        <f>IF(OR(C424="",D424=""),"",C424*D424)</f>
      </c>
      <c r="F424" s="6"/>
    </row>
    <row r="425">
      <c r="A425" s="9">
        <v>422</v>
      </c>
      <c r="B425" s="7"/>
      <c r="C425" s="9"/>
      <c r="D425" s="4"/>
      <c r="E425" s="4">
        <f>IF(OR(C425="",D425=""),"",C425*D425)</f>
      </c>
      <c r="F425" s="6"/>
    </row>
    <row r="426">
      <c r="A426" s="9">
        <v>423</v>
      </c>
      <c r="B426" s="7"/>
      <c r="C426" s="9"/>
      <c r="D426" s="4"/>
      <c r="E426" s="4">
        <f>IF(OR(C426="",D426=""),"",C426*D426)</f>
      </c>
      <c r="F426" s="6"/>
    </row>
    <row r="427">
      <c r="A427" s="9">
        <v>424</v>
      </c>
      <c r="B427" s="7"/>
      <c r="C427" s="9"/>
      <c r="D427" s="4"/>
      <c r="E427" s="4">
        <f>IF(OR(C427="",D427=""),"",C427*D427)</f>
      </c>
      <c r="F427" s="6"/>
    </row>
    <row r="428">
      <c r="A428" s="9">
        <v>425</v>
      </c>
      <c r="B428" s="7"/>
      <c r="C428" s="9"/>
      <c r="D428" s="4"/>
      <c r="E428" s="4">
        <f>IF(OR(C428="",D428=""),"",C428*D428)</f>
      </c>
      <c r="F428" s="6"/>
    </row>
    <row r="429">
      <c r="A429" s="9">
        <v>426</v>
      </c>
      <c r="B429" s="7"/>
      <c r="C429" s="9"/>
      <c r="D429" s="4"/>
      <c r="E429" s="4">
        <f>IF(OR(C429="",D429=""),"",C429*D429)</f>
      </c>
      <c r="F429" s="6"/>
    </row>
    <row r="430">
      <c r="A430" s="9">
        <v>427</v>
      </c>
      <c r="B430" s="7"/>
      <c r="C430" s="9"/>
      <c r="D430" s="4"/>
      <c r="E430" s="4">
        <f>IF(OR(C430="",D430=""),"",C430*D430)</f>
      </c>
      <c r="F430" s="6"/>
    </row>
    <row r="431">
      <c r="A431" s="9">
        <v>428</v>
      </c>
      <c r="B431" s="7"/>
      <c r="C431" s="9"/>
      <c r="D431" s="4"/>
      <c r="E431" s="4">
        <f>IF(OR(C431="",D431=""),"",C431*D431)</f>
      </c>
      <c r="F431" s="6"/>
    </row>
    <row r="432">
      <c r="A432" s="9">
        <v>429</v>
      </c>
      <c r="B432" s="7"/>
      <c r="C432" s="9"/>
      <c r="D432" s="4"/>
      <c r="E432" s="4">
        <f>IF(OR(C432="",D432=""),"",C432*D432)</f>
      </c>
      <c r="F432" s="6"/>
    </row>
    <row r="433">
      <c r="A433" s="9">
        <v>430</v>
      </c>
      <c r="B433" s="7"/>
      <c r="C433" s="9"/>
      <c r="D433" s="4"/>
      <c r="E433" s="4">
        <f>IF(OR(C433="",D433=""),"",C433*D433)</f>
      </c>
      <c r="F433" s="6"/>
    </row>
    <row r="434">
      <c r="A434" s="9">
        <v>431</v>
      </c>
      <c r="B434" s="7"/>
      <c r="C434" s="9"/>
      <c r="D434" s="4"/>
      <c r="E434" s="4">
        <f>IF(OR(C434="",D434=""),"",C434*D434)</f>
      </c>
      <c r="F434" s="6"/>
    </row>
    <row r="435">
      <c r="A435" s="9">
        <v>432</v>
      </c>
      <c r="B435" s="7"/>
      <c r="C435" s="9"/>
      <c r="D435" s="4"/>
      <c r="E435" s="4">
        <f>IF(OR(C435="",D435=""),"",C435*D435)</f>
      </c>
      <c r="F435" s="6"/>
    </row>
    <row r="436">
      <c r="A436" s="9">
        <v>433</v>
      </c>
      <c r="B436" s="7"/>
      <c r="C436" s="9"/>
      <c r="D436" s="4"/>
      <c r="E436" s="4">
        <f>IF(OR(C436="",D436=""),"",C436*D436)</f>
      </c>
      <c r="F436" s="6"/>
    </row>
    <row r="437">
      <c r="A437" s="9">
        <v>434</v>
      </c>
      <c r="B437" s="7"/>
      <c r="C437" s="9"/>
      <c r="D437" s="4"/>
      <c r="E437" s="4">
        <f>IF(OR(C437="",D437=""),"",C437*D437)</f>
      </c>
      <c r="F437" s="6"/>
    </row>
    <row r="438">
      <c r="A438" s="9">
        <v>435</v>
      </c>
      <c r="B438" s="7"/>
      <c r="C438" s="9"/>
      <c r="D438" s="4"/>
      <c r="E438" s="4">
        <f>IF(OR(C438="",D438=""),"",C438*D438)</f>
      </c>
      <c r="F438" s="6"/>
    </row>
    <row r="439">
      <c r="A439" s="9">
        <v>436</v>
      </c>
      <c r="B439" s="7"/>
      <c r="C439" s="9"/>
      <c r="D439" s="4"/>
      <c r="E439" s="4">
        <f>IF(OR(C439="",D439=""),"",C439*D439)</f>
      </c>
      <c r="F439" s="6"/>
    </row>
    <row r="440">
      <c r="A440" s="9">
        <v>437</v>
      </c>
      <c r="B440" s="7"/>
      <c r="C440" s="9"/>
      <c r="D440" s="4"/>
      <c r="E440" s="4">
        <f>IF(OR(C440="",D440=""),"",C440*D440)</f>
      </c>
      <c r="F440" s="6"/>
    </row>
    <row r="441">
      <c r="A441" s="9">
        <v>438</v>
      </c>
      <c r="B441" s="7"/>
      <c r="C441" s="9"/>
      <c r="D441" s="4"/>
      <c r="E441" s="4">
        <f>IF(OR(C441="",D441=""),"",C441*D441)</f>
      </c>
      <c r="F441" s="6"/>
    </row>
    <row r="442">
      <c r="A442" s="9">
        <v>439</v>
      </c>
      <c r="B442" s="7"/>
      <c r="C442" s="9"/>
      <c r="D442" s="4"/>
      <c r="E442" s="4">
        <f>IF(OR(C442="",D442=""),"",C442*D442)</f>
      </c>
      <c r="F442" s="6"/>
    </row>
    <row r="443">
      <c r="A443" s="9">
        <v>440</v>
      </c>
      <c r="B443" s="7"/>
      <c r="C443" s="9"/>
      <c r="D443" s="4"/>
      <c r="E443" s="4">
        <f>IF(OR(C443="",D443=""),"",C443*D443)</f>
      </c>
      <c r="F443" s="6"/>
    </row>
    <row r="444">
      <c r="A444" s="9">
        <v>441</v>
      </c>
      <c r="B444" s="7"/>
      <c r="C444" s="9"/>
      <c r="D444" s="4"/>
      <c r="E444" s="4">
        <f>IF(OR(C444="",D444=""),"",C444*D444)</f>
      </c>
      <c r="F444" s="6"/>
    </row>
    <row r="445">
      <c r="A445" s="9">
        <v>442</v>
      </c>
      <c r="B445" s="7"/>
      <c r="C445" s="9"/>
      <c r="D445" s="4"/>
      <c r="E445" s="4">
        <f>IF(OR(C445="",D445=""),"",C445*D445)</f>
      </c>
      <c r="F445" s="6"/>
    </row>
    <row r="446">
      <c r="A446" s="9">
        <v>443</v>
      </c>
      <c r="B446" s="7"/>
      <c r="C446" s="9"/>
      <c r="D446" s="4"/>
      <c r="E446" s="4">
        <f>IF(OR(C446="",D446=""),"",C446*D446)</f>
      </c>
      <c r="F446" s="6"/>
    </row>
    <row r="447">
      <c r="A447" s="9">
        <v>444</v>
      </c>
      <c r="B447" s="7"/>
      <c r="C447" s="9"/>
      <c r="D447" s="4"/>
      <c r="E447" s="4">
        <f>IF(OR(C447="",D447=""),"",C447*D447)</f>
      </c>
      <c r="F447" s="6"/>
    </row>
    <row r="448">
      <c r="A448" s="9">
        <v>445</v>
      </c>
      <c r="B448" s="7"/>
      <c r="C448" s="9"/>
      <c r="D448" s="4"/>
      <c r="E448" s="4">
        <f>IF(OR(C448="",D448=""),"",C448*D448)</f>
      </c>
      <c r="F448" s="6"/>
    </row>
    <row r="449">
      <c r="A449" s="9">
        <v>446</v>
      </c>
      <c r="B449" s="7"/>
      <c r="C449" s="9"/>
      <c r="D449" s="4"/>
      <c r="E449" s="4">
        <f>IF(OR(C449="",D449=""),"",C449*D449)</f>
      </c>
      <c r="F449" s="6"/>
    </row>
    <row r="450">
      <c r="A450" s="9">
        <v>447</v>
      </c>
      <c r="B450" s="7"/>
      <c r="C450" s="9"/>
      <c r="D450" s="4"/>
      <c r="E450" s="4">
        <f>IF(OR(C450="",D450=""),"",C450*D450)</f>
      </c>
      <c r="F450" s="6"/>
    </row>
    <row r="451">
      <c r="A451" s="9">
        <v>448</v>
      </c>
      <c r="B451" s="7"/>
      <c r="C451" s="9"/>
      <c r="D451" s="4"/>
      <c r="E451" s="4">
        <f>IF(OR(C451="",D451=""),"",C451*D451)</f>
      </c>
      <c r="F451" s="6"/>
    </row>
    <row r="452">
      <c r="A452" s="9">
        <v>449</v>
      </c>
      <c r="B452" s="7"/>
      <c r="C452" s="9"/>
      <c r="D452" s="4"/>
      <c r="E452" s="4">
        <f>IF(OR(C452="",D452=""),"",C452*D452)</f>
      </c>
      <c r="F452" s="6"/>
    </row>
    <row r="453">
      <c r="A453" s="9">
        <v>450</v>
      </c>
      <c r="B453" s="7"/>
      <c r="C453" s="9"/>
      <c r="D453" s="4"/>
      <c r="E453" s="4">
        <f>IF(OR(C453="",D453=""),"",C453*D453)</f>
      </c>
      <c r="F453" s="6"/>
    </row>
    <row r="454">
      <c r="A454" s="9">
        <v>451</v>
      </c>
      <c r="B454" s="7"/>
      <c r="C454" s="9"/>
      <c r="D454" s="4"/>
      <c r="E454" s="4">
        <f>IF(OR(C454="",D454=""),"",C454*D454)</f>
      </c>
      <c r="F454" s="6"/>
    </row>
    <row r="455">
      <c r="A455" s="9">
        <v>452</v>
      </c>
      <c r="B455" s="7"/>
      <c r="C455" s="9"/>
      <c r="D455" s="4"/>
      <c r="E455" s="4">
        <f>IF(OR(C455="",D455=""),"",C455*D455)</f>
      </c>
      <c r="F455" s="6"/>
    </row>
    <row r="456">
      <c r="A456" s="9">
        <v>453</v>
      </c>
      <c r="B456" s="7"/>
      <c r="C456" s="9"/>
      <c r="D456" s="4"/>
      <c r="E456" s="4">
        <f>IF(OR(C456="",D456=""),"",C456*D456)</f>
      </c>
      <c r="F456" s="6"/>
    </row>
    <row r="457">
      <c r="A457" s="9">
        <v>454</v>
      </c>
      <c r="B457" s="7"/>
      <c r="C457" s="9"/>
      <c r="D457" s="4"/>
      <c r="E457" s="4">
        <f>IF(OR(C457="",D457=""),"",C457*D457)</f>
      </c>
      <c r="F457" s="6"/>
    </row>
    <row r="458">
      <c r="A458" s="9">
        <v>455</v>
      </c>
      <c r="B458" s="7"/>
      <c r="C458" s="9"/>
      <c r="D458" s="4"/>
      <c r="E458" s="4">
        <f>IF(OR(C458="",D458=""),"",C458*D458)</f>
      </c>
      <c r="F458" s="6"/>
    </row>
    <row r="459">
      <c r="A459" s="9">
        <v>456</v>
      </c>
      <c r="B459" s="7"/>
      <c r="C459" s="9"/>
      <c r="D459" s="4"/>
      <c r="E459" s="4">
        <f>IF(OR(C459="",D459=""),"",C459*D459)</f>
      </c>
      <c r="F459" s="6"/>
    </row>
    <row r="460">
      <c r="A460" s="9">
        <v>457</v>
      </c>
      <c r="B460" s="7"/>
      <c r="C460" s="9"/>
      <c r="D460" s="4"/>
      <c r="E460" s="4">
        <f>IF(OR(C460="",D460=""),"",C460*D460)</f>
      </c>
      <c r="F460" s="6"/>
    </row>
    <row r="461">
      <c r="A461" s="9">
        <v>458</v>
      </c>
      <c r="B461" s="7"/>
      <c r="C461" s="9"/>
      <c r="D461" s="4"/>
      <c r="E461" s="4">
        <f>IF(OR(C461="",D461=""),"",C461*D461)</f>
      </c>
      <c r="F461" s="6"/>
    </row>
    <row r="462">
      <c r="A462" s="9">
        <v>459</v>
      </c>
      <c r="B462" s="7"/>
      <c r="C462" s="9"/>
      <c r="D462" s="4"/>
      <c r="E462" s="4">
        <f>IF(OR(C462="",D462=""),"",C462*D462)</f>
      </c>
      <c r="F462" s="6"/>
    </row>
    <row r="463">
      <c r="A463" s="9">
        <v>460</v>
      </c>
      <c r="B463" s="7"/>
      <c r="C463" s="9"/>
      <c r="D463" s="4"/>
      <c r="E463" s="4">
        <f>IF(OR(C463="",D463=""),"",C463*D463)</f>
      </c>
      <c r="F463" s="6"/>
    </row>
    <row r="464">
      <c r="A464" s="9">
        <v>461</v>
      </c>
      <c r="B464" s="7"/>
      <c r="C464" s="9"/>
      <c r="D464" s="4"/>
      <c r="E464" s="4">
        <f>IF(OR(C464="",D464=""),"",C464*D464)</f>
      </c>
      <c r="F464" s="6"/>
    </row>
    <row r="465">
      <c r="A465" s="9">
        <v>462</v>
      </c>
      <c r="B465" s="7"/>
      <c r="C465" s="9"/>
      <c r="D465" s="4"/>
      <c r="E465" s="4">
        <f>IF(OR(C465="",D465=""),"",C465*D465)</f>
      </c>
      <c r="F465" s="6"/>
    </row>
    <row r="466">
      <c r="A466" s="9">
        <v>463</v>
      </c>
      <c r="B466" s="7"/>
      <c r="C466" s="9"/>
      <c r="D466" s="4"/>
      <c r="E466" s="4">
        <f>IF(OR(C466="",D466=""),"",C466*D466)</f>
      </c>
      <c r="F466" s="6"/>
    </row>
    <row r="467">
      <c r="A467" s="9">
        <v>464</v>
      </c>
      <c r="B467" s="7"/>
      <c r="C467" s="9"/>
      <c r="D467" s="4"/>
      <c r="E467" s="4">
        <f>IF(OR(C467="",D467=""),"",C467*D467)</f>
      </c>
      <c r="F467" s="6"/>
    </row>
    <row r="468">
      <c r="A468" s="9">
        <v>465</v>
      </c>
      <c r="B468" s="7"/>
      <c r="C468" s="9"/>
      <c r="D468" s="4"/>
      <c r="E468" s="4">
        <f>IF(OR(C468="",D468=""),"",C468*D468)</f>
      </c>
      <c r="F468" s="6"/>
    </row>
    <row r="469">
      <c r="A469" s="9">
        <v>466</v>
      </c>
      <c r="B469" s="7"/>
      <c r="C469" s="9"/>
      <c r="D469" s="4"/>
      <c r="E469" s="4">
        <f>IF(OR(C469="",D469=""),"",C469*D469)</f>
      </c>
      <c r="F469" s="6"/>
    </row>
    <row r="470">
      <c r="A470" s="9">
        <v>467</v>
      </c>
      <c r="B470" s="7"/>
      <c r="C470" s="9"/>
      <c r="D470" s="4"/>
      <c r="E470" s="4">
        <f>IF(OR(C470="",D470=""),"",C470*D470)</f>
      </c>
      <c r="F470" s="6"/>
    </row>
    <row r="471">
      <c r="A471" s="9">
        <v>468</v>
      </c>
      <c r="B471" s="7"/>
      <c r="C471" s="9"/>
      <c r="D471" s="4"/>
      <c r="E471" s="4">
        <f>IF(OR(C471="",D471=""),"",C471*D471)</f>
      </c>
      <c r="F471" s="6"/>
    </row>
    <row r="472">
      <c r="A472" s="9">
        <v>469</v>
      </c>
      <c r="B472" s="7"/>
      <c r="C472" s="9"/>
      <c r="D472" s="4"/>
      <c r="E472" s="4">
        <f>IF(OR(C472="",D472=""),"",C472*D472)</f>
      </c>
      <c r="F472" s="6"/>
    </row>
    <row r="473">
      <c r="A473" s="9">
        <v>470</v>
      </c>
      <c r="B473" s="7"/>
      <c r="C473" s="9"/>
      <c r="D473" s="4"/>
      <c r="E473" s="4">
        <f>IF(OR(C473="",D473=""),"",C473*D473)</f>
      </c>
      <c r="F473" s="6"/>
    </row>
    <row r="474">
      <c r="A474" s="9">
        <v>471</v>
      </c>
      <c r="B474" s="7"/>
      <c r="C474" s="9"/>
      <c r="D474" s="4"/>
      <c r="E474" s="4">
        <f>IF(OR(C474="",D474=""),"",C474*D474)</f>
      </c>
      <c r="F474" s="6"/>
    </row>
    <row r="475">
      <c r="A475" s="9">
        <v>472</v>
      </c>
      <c r="B475" s="7"/>
      <c r="C475" s="9"/>
      <c r="D475" s="4"/>
      <c r="E475" s="4">
        <f>IF(OR(C475="",D475=""),"",C475*D475)</f>
      </c>
      <c r="F475" s="6"/>
    </row>
    <row r="476">
      <c r="A476" s="9">
        <v>473</v>
      </c>
      <c r="B476" s="7"/>
      <c r="C476" s="9"/>
      <c r="D476" s="4"/>
      <c r="E476" s="4">
        <f>IF(OR(C476="",D476=""),"",C476*D476)</f>
      </c>
      <c r="F476" s="6"/>
    </row>
    <row r="477">
      <c r="A477" s="9">
        <v>474</v>
      </c>
      <c r="B477" s="7"/>
      <c r="C477" s="9"/>
      <c r="D477" s="4"/>
      <c r="E477" s="4">
        <f>IF(OR(C477="",D477=""),"",C477*D477)</f>
      </c>
      <c r="F477" s="6"/>
    </row>
    <row r="478">
      <c r="A478" s="9">
        <v>475</v>
      </c>
      <c r="B478" s="7"/>
      <c r="C478" s="9"/>
      <c r="D478" s="4"/>
      <c r="E478" s="4">
        <f>IF(OR(C478="",D478=""),"",C478*D478)</f>
      </c>
      <c r="F478" s="6"/>
    </row>
    <row r="479">
      <c r="A479" s="9">
        <v>476</v>
      </c>
      <c r="B479" s="7"/>
      <c r="C479" s="9"/>
      <c r="D479" s="4"/>
      <c r="E479" s="4">
        <f>IF(OR(C479="",D479=""),"",C479*D479)</f>
      </c>
      <c r="F479" s="6"/>
    </row>
    <row r="480">
      <c r="A480" s="9">
        <v>477</v>
      </c>
      <c r="B480" s="7"/>
      <c r="C480" s="9"/>
      <c r="D480" s="4"/>
      <c r="E480" s="4">
        <f>IF(OR(C480="",D480=""),"",C480*D480)</f>
      </c>
      <c r="F480" s="6"/>
    </row>
    <row r="481">
      <c r="A481" s="9">
        <v>478</v>
      </c>
      <c r="B481" s="7"/>
      <c r="C481" s="9"/>
      <c r="D481" s="4"/>
      <c r="E481" s="4">
        <f>IF(OR(C481="",D481=""),"",C481*D481)</f>
      </c>
      <c r="F481" s="6"/>
    </row>
    <row r="482">
      <c r="A482" s="9">
        <v>479</v>
      </c>
      <c r="B482" s="7"/>
      <c r="C482" s="9"/>
      <c r="D482" s="4"/>
      <c r="E482" s="4">
        <f>IF(OR(C482="",D482=""),"",C482*D482)</f>
      </c>
      <c r="F482" s="6"/>
    </row>
    <row r="483">
      <c r="A483" s="9">
        <v>480</v>
      </c>
      <c r="B483" s="7"/>
      <c r="C483" s="9"/>
      <c r="D483" s="4"/>
      <c r="E483" s="4">
        <f>IF(OR(C483="",D483=""),"",C483*D483)</f>
      </c>
      <c r="F483" s="6"/>
    </row>
    <row r="484">
      <c r="A484" s="9">
        <v>481</v>
      </c>
      <c r="B484" s="7"/>
      <c r="C484" s="9"/>
      <c r="D484" s="4"/>
      <c r="E484" s="4">
        <f>IF(OR(C484="",D484=""),"",C484*D484)</f>
      </c>
      <c r="F484" s="6"/>
    </row>
    <row r="485">
      <c r="A485" s="9">
        <v>482</v>
      </c>
      <c r="B485" s="7"/>
      <c r="C485" s="9"/>
      <c r="D485" s="4"/>
      <c r="E485" s="4">
        <f>IF(OR(C485="",D485=""),"",C485*D485)</f>
      </c>
      <c r="F485" s="6"/>
    </row>
    <row r="486">
      <c r="A486" s="9">
        <v>483</v>
      </c>
      <c r="B486" s="7"/>
      <c r="C486" s="9"/>
      <c r="D486" s="4"/>
      <c r="E486" s="4">
        <f>IF(OR(C486="",D486=""),"",C486*D486)</f>
      </c>
      <c r="F486" s="6"/>
    </row>
    <row r="487">
      <c r="A487" s="9">
        <v>484</v>
      </c>
      <c r="B487" s="7"/>
      <c r="C487" s="9"/>
      <c r="D487" s="4"/>
      <c r="E487" s="4">
        <f>IF(OR(C487="",D487=""),"",C487*D487)</f>
      </c>
      <c r="F487" s="6"/>
    </row>
    <row r="488">
      <c r="A488" s="9">
        <v>485</v>
      </c>
      <c r="B488" s="7"/>
      <c r="C488" s="9"/>
      <c r="D488" s="4"/>
      <c r="E488" s="4">
        <f>IF(OR(C488="",D488=""),"",C488*D488)</f>
      </c>
      <c r="F488" s="6"/>
    </row>
    <row r="489">
      <c r="A489" s="9">
        <v>486</v>
      </c>
      <c r="B489" s="7"/>
      <c r="C489" s="9"/>
      <c r="D489" s="4"/>
      <c r="E489" s="4">
        <f>IF(OR(C489="",D489=""),"",C489*D489)</f>
      </c>
      <c r="F489" s="6"/>
    </row>
    <row r="490">
      <c r="A490" s="9">
        <v>487</v>
      </c>
      <c r="B490" s="7"/>
      <c r="C490" s="9"/>
      <c r="D490" s="4"/>
      <c r="E490" s="4">
        <f>IF(OR(C490="",D490=""),"",C490*D490)</f>
      </c>
      <c r="F490" s="6"/>
    </row>
    <row r="491">
      <c r="A491" s="9">
        <v>488</v>
      </c>
      <c r="B491" s="7"/>
      <c r="C491" s="9"/>
      <c r="D491" s="4"/>
      <c r="E491" s="4">
        <f>IF(OR(C491="",D491=""),"",C491*D491)</f>
      </c>
      <c r="F491" s="6"/>
    </row>
    <row r="492">
      <c r="A492" s="9">
        <v>489</v>
      </c>
      <c r="B492" s="7"/>
      <c r="C492" s="9"/>
      <c r="D492" s="4"/>
      <c r="E492" s="4">
        <f>IF(OR(C492="",D492=""),"",C492*D492)</f>
      </c>
      <c r="F492" s="6"/>
    </row>
    <row r="493">
      <c r="A493" s="9">
        <v>490</v>
      </c>
      <c r="B493" s="7"/>
      <c r="C493" s="9"/>
      <c r="D493" s="4"/>
      <c r="E493" s="4">
        <f>IF(OR(C493="",D493=""),"",C493*D493)</f>
      </c>
      <c r="F493" s="6"/>
    </row>
    <row r="494">
      <c r="A494" s="9">
        <v>491</v>
      </c>
      <c r="B494" s="7"/>
      <c r="C494" s="9"/>
      <c r="D494" s="4"/>
      <c r="E494" s="4">
        <f>IF(OR(C494="",D494=""),"",C494*D494)</f>
      </c>
      <c r="F494" s="6"/>
    </row>
    <row r="495">
      <c r="A495" s="9">
        <v>492</v>
      </c>
      <c r="B495" s="7"/>
      <c r="C495" s="9"/>
      <c r="D495" s="4"/>
      <c r="E495" s="4">
        <f>IF(OR(C495="",D495=""),"",C495*D495)</f>
      </c>
      <c r="F495" s="6"/>
    </row>
    <row r="496">
      <c r="A496" s="9">
        <v>493</v>
      </c>
      <c r="B496" s="7"/>
      <c r="C496" s="9"/>
      <c r="D496" s="4"/>
      <c r="E496" s="4">
        <f>IF(OR(C496="",D496=""),"",C496*D496)</f>
      </c>
      <c r="F496" s="6"/>
    </row>
    <row r="497">
      <c r="A497" s="9">
        <v>494</v>
      </c>
      <c r="B497" s="7"/>
      <c r="C497" s="9"/>
      <c r="D497" s="4"/>
      <c r="E497" s="4">
        <f>IF(OR(C497="",D497=""),"",C497*D497)</f>
      </c>
      <c r="F497" s="6"/>
    </row>
    <row r="498">
      <c r="A498" s="9">
        <v>495</v>
      </c>
      <c r="B498" s="7"/>
      <c r="C498" s="9"/>
      <c r="D498" s="4"/>
      <c r="E498" s="4">
        <f>IF(OR(C498="",D498=""),"",C498*D498)</f>
      </c>
      <c r="F498" s="6"/>
    </row>
    <row r="499">
      <c r="A499" s="9">
        <v>496</v>
      </c>
      <c r="B499" s="7"/>
      <c r="C499" s="9"/>
      <c r="D499" s="4"/>
      <c r="E499" s="4">
        <f>IF(OR(C499="",D499=""),"",C499*D499)</f>
      </c>
      <c r="F499" s="6"/>
    </row>
    <row r="500">
      <c r="A500" s="9">
        <v>497</v>
      </c>
      <c r="B500" s="7"/>
      <c r="C500" s="9"/>
      <c r="D500" s="4"/>
      <c r="E500" s="4">
        <f>IF(OR(C500="",D500=""),"",C500*D500)</f>
      </c>
      <c r="F500" s="6"/>
    </row>
    <row r="501">
      <c r="A501" s="9">
        <v>498</v>
      </c>
      <c r="B501" s="7"/>
      <c r="C501" s="9"/>
      <c r="D501" s="4"/>
      <c r="E501" s="4">
        <f>IF(OR(C501="",D501=""),"",C501*D501)</f>
      </c>
      <c r="F501" s="6"/>
    </row>
    <row r="502">
      <c r="A502" s="9">
        <v>499</v>
      </c>
      <c r="B502" s="7"/>
      <c r="C502" s="9"/>
      <c r="D502" s="4"/>
      <c r="E502" s="4">
        <f>IF(OR(C502="",D502=""),"",C502*D502)</f>
      </c>
      <c r="F502" s="6"/>
    </row>
    <row r="503">
      <c r="A503" s="9">
        <v>500</v>
      </c>
      <c r="B503" s="7"/>
      <c r="C503" s="9"/>
      <c r="D503" s="4"/>
      <c r="E503" s="4">
        <f>IF(OR(C503="",D503=""),"",C503*D503)</f>
      </c>
      <c r="F503" s="6"/>
    </row>
    <row r="504">
      <c r="A504" s="2" t="s">
        <v>64</v>
      </c>
      <c r="E504" s="5">
        <f>SUM(E4:E503)</f>
      </c>
    </row>
  </sheetData>
  <mergeCells count="2">
    <mergeCell ref="A1:F1"/>
    <mergeCell ref="A504:D504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F8F00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16" customWidth="1"/>
    <col min="3" max="3" width="20" customWidth="1"/>
    <col min="4" max="4" width="20" customWidth="1"/>
    <col min="5" max="5" width="20" customWidth="1"/>
    <col min="6" max="6" width="12" customWidth="1"/>
  </cols>
  <sheetData>
    <row r="1" ht="40" customHeight="1">
      <c r="A1" s="19" t="s">
        <v>92</v>
      </c>
    </row>
    <row r="2">
      <c r="A2" s="22" t="s">
        <v>97</v>
      </c>
    </row>
    <row r="3" ht="28" customHeight="1">
      <c r="A3" s="19" t="s">
        <v>77</v>
      </c>
      <c r="B3" s="19" t="s">
        <v>76</v>
      </c>
      <c r="C3" s="19" t="s">
        <v>73</v>
      </c>
      <c r="D3" s="19" t="s">
        <v>88</v>
      </c>
      <c r="E3" s="19" t="s">
        <v>86</v>
      </c>
      <c r="F3" s="19" t="s">
        <v>87</v>
      </c>
    </row>
    <row r="4">
      <c r="A4" s="9">
        <v>1</v>
      </c>
      <c r="B4" s="6"/>
      <c r="C4" s="4"/>
      <c r="D4" s="7"/>
      <c r="E4" s="7"/>
      <c r="F4" s="23"/>
    </row>
    <row r="5">
      <c r="A5" s="9">
        <v>2</v>
      </c>
      <c r="B5" s="6"/>
      <c r="C5" s="4"/>
      <c r="D5" s="7"/>
      <c r="E5" s="7"/>
      <c r="F5" s="23"/>
    </row>
    <row r="6">
      <c r="A6" s="9">
        <v>3</v>
      </c>
      <c r="B6" s="6"/>
      <c r="C6" s="4"/>
      <c r="D6" s="7"/>
      <c r="E6" s="7"/>
      <c r="F6" s="23"/>
    </row>
    <row r="7">
      <c r="A7" s="9">
        <v>4</v>
      </c>
      <c r="B7" s="6"/>
      <c r="C7" s="4"/>
      <c r="D7" s="7"/>
      <c r="E7" s="7"/>
      <c r="F7" s="23"/>
    </row>
    <row r="8">
      <c r="A8" s="9">
        <v>5</v>
      </c>
      <c r="B8" s="6"/>
      <c r="C8" s="4"/>
      <c r="D8" s="7"/>
      <c r="E8" s="7"/>
      <c r="F8" s="23"/>
    </row>
    <row r="9">
      <c r="A9" s="9">
        <v>6</v>
      </c>
      <c r="B9" s="6"/>
      <c r="C9" s="4"/>
      <c r="D9" s="7"/>
      <c r="E9" s="7"/>
      <c r="F9" s="23"/>
    </row>
    <row r="10">
      <c r="A10" s="9">
        <v>7</v>
      </c>
      <c r="B10" s="6"/>
      <c r="C10" s="4"/>
      <c r="D10" s="7"/>
      <c r="E10" s="7"/>
      <c r="F10" s="23"/>
    </row>
    <row r="11">
      <c r="A11" s="9">
        <v>8</v>
      </c>
      <c r="B11" s="6"/>
      <c r="C11" s="4"/>
      <c r="D11" s="7"/>
      <c r="E11" s="7"/>
      <c r="F11" s="23"/>
    </row>
    <row r="12">
      <c r="A12" s="9">
        <v>9</v>
      </c>
      <c r="B12" s="6"/>
      <c r="C12" s="4"/>
      <c r="D12" s="7"/>
      <c r="E12" s="7"/>
      <c r="F12" s="23"/>
    </row>
    <row r="13">
      <c r="A13" s="9">
        <v>10</v>
      </c>
      <c r="B13" s="6"/>
      <c r="C13" s="4"/>
      <c r="D13" s="7"/>
      <c r="E13" s="7"/>
      <c r="F13" s="23"/>
    </row>
    <row r="14">
      <c r="A14" s="9">
        <v>11</v>
      </c>
      <c r="B14" s="6"/>
      <c r="C14" s="4"/>
      <c r="D14" s="7"/>
      <c r="E14" s="7"/>
      <c r="F14" s="23"/>
    </row>
    <row r="15">
      <c r="A15" s="9">
        <v>12</v>
      </c>
      <c r="B15" s="6"/>
      <c r="C15" s="4"/>
      <c r="D15" s="7"/>
      <c r="E15" s="7"/>
      <c r="F15" s="23"/>
    </row>
    <row r="16">
      <c r="A16" s="9">
        <v>13</v>
      </c>
      <c r="B16" s="6"/>
      <c r="C16" s="4"/>
      <c r="D16" s="7"/>
      <c r="E16" s="7"/>
      <c r="F16" s="23"/>
    </row>
    <row r="17">
      <c r="A17" s="9">
        <v>14</v>
      </c>
      <c r="B17" s="6"/>
      <c r="C17" s="4"/>
      <c r="D17" s="7"/>
      <c r="E17" s="7"/>
      <c r="F17" s="23"/>
    </row>
    <row r="18">
      <c r="A18" s="9">
        <v>15</v>
      </c>
      <c r="B18" s="6"/>
      <c r="C18" s="4"/>
      <c r="D18" s="7"/>
      <c r="E18" s="7"/>
      <c r="F18" s="23"/>
    </row>
    <row r="19">
      <c r="A19" s="9">
        <v>16</v>
      </c>
      <c r="B19" s="6"/>
      <c r="C19" s="4"/>
      <c r="D19" s="7"/>
      <c r="E19" s="7"/>
      <c r="F19" s="23"/>
    </row>
    <row r="20">
      <c r="A20" s="9">
        <v>17</v>
      </c>
      <c r="B20" s="6"/>
      <c r="C20" s="4"/>
      <c r="D20" s="7"/>
      <c r="E20" s="7"/>
      <c r="F20" s="23"/>
    </row>
    <row r="21">
      <c r="A21" s="9">
        <v>18</v>
      </c>
      <c r="B21" s="6"/>
      <c r="C21" s="4"/>
      <c r="D21" s="7"/>
      <c r="E21" s="7"/>
      <c r="F21" s="23"/>
    </row>
    <row r="22">
      <c r="A22" s="9">
        <v>19</v>
      </c>
      <c r="B22" s="6"/>
      <c r="C22" s="4"/>
      <c r="D22" s="7"/>
      <c r="E22" s="7"/>
      <c r="F22" s="23"/>
    </row>
    <row r="23">
      <c r="A23" s="9">
        <v>20</v>
      </c>
      <c r="B23" s="6"/>
      <c r="C23" s="4"/>
      <c r="D23" s="7"/>
      <c r="E23" s="7"/>
      <c r="F23" s="23"/>
    </row>
    <row r="24">
      <c r="A24" s="9">
        <v>21</v>
      </c>
      <c r="B24" s="6"/>
      <c r="C24" s="4"/>
      <c r="D24" s="7"/>
      <c r="E24" s="7"/>
      <c r="F24" s="23"/>
    </row>
    <row r="25">
      <c r="A25" s="9">
        <v>22</v>
      </c>
      <c r="B25" s="6"/>
      <c r="C25" s="4"/>
      <c r="D25" s="7"/>
      <c r="E25" s="7"/>
      <c r="F25" s="23"/>
    </row>
    <row r="26">
      <c r="A26" s="9">
        <v>23</v>
      </c>
      <c r="B26" s="6"/>
      <c r="C26" s="4"/>
      <c r="D26" s="7"/>
      <c r="E26" s="7"/>
      <c r="F26" s="23"/>
    </row>
    <row r="27">
      <c r="A27" s="9">
        <v>24</v>
      </c>
      <c r="B27" s="6"/>
      <c r="C27" s="4"/>
      <c r="D27" s="7"/>
      <c r="E27" s="7"/>
      <c r="F27" s="23"/>
    </row>
    <row r="28">
      <c r="A28" s="9">
        <v>25</v>
      </c>
      <c r="B28" s="6"/>
      <c r="C28" s="4"/>
      <c r="D28" s="7"/>
      <c r="E28" s="7"/>
      <c r="F28" s="23"/>
    </row>
    <row r="29">
      <c r="A29" s="9">
        <v>26</v>
      </c>
      <c r="B29" s="6"/>
      <c r="C29" s="4"/>
      <c r="D29" s="7"/>
      <c r="E29" s="7"/>
      <c r="F29" s="23"/>
    </row>
    <row r="30">
      <c r="A30" s="9">
        <v>27</v>
      </c>
      <c r="B30" s="6"/>
      <c r="C30" s="4"/>
      <c r="D30" s="7"/>
      <c r="E30" s="7"/>
      <c r="F30" s="23"/>
    </row>
    <row r="31">
      <c r="A31" s="9">
        <v>28</v>
      </c>
      <c r="B31" s="6"/>
      <c r="C31" s="4"/>
      <c r="D31" s="7"/>
      <c r="E31" s="7"/>
      <c r="F31" s="23"/>
    </row>
    <row r="32">
      <c r="A32" s="9">
        <v>29</v>
      </c>
      <c r="B32" s="6"/>
      <c r="C32" s="4"/>
      <c r="D32" s="7"/>
      <c r="E32" s="7"/>
      <c r="F32" s="23"/>
    </row>
    <row r="33">
      <c r="A33" s="9">
        <v>30</v>
      </c>
      <c r="B33" s="6"/>
      <c r="C33" s="4"/>
      <c r="D33" s="7"/>
      <c r="E33" s="7"/>
      <c r="F33" s="23"/>
    </row>
    <row r="34">
      <c r="A34" s="9">
        <v>31</v>
      </c>
      <c r="B34" s="6"/>
      <c r="C34" s="4"/>
      <c r="D34" s="7"/>
      <c r="E34" s="7"/>
      <c r="F34" s="23"/>
    </row>
    <row r="35">
      <c r="A35" s="9">
        <v>32</v>
      </c>
      <c r="B35" s="6"/>
      <c r="C35" s="4"/>
      <c r="D35" s="7"/>
      <c r="E35" s="7"/>
      <c r="F35" s="23"/>
    </row>
    <row r="36">
      <c r="A36" s="9">
        <v>33</v>
      </c>
      <c r="B36" s="6"/>
      <c r="C36" s="4"/>
      <c r="D36" s="7"/>
      <c r="E36" s="7"/>
      <c r="F36" s="23"/>
    </row>
    <row r="37">
      <c r="A37" s="9">
        <v>34</v>
      </c>
      <c r="B37" s="6"/>
      <c r="C37" s="4"/>
      <c r="D37" s="7"/>
      <c r="E37" s="7"/>
      <c r="F37" s="23"/>
    </row>
    <row r="38">
      <c r="A38" s="9">
        <v>35</v>
      </c>
      <c r="B38" s="6"/>
      <c r="C38" s="4"/>
      <c r="D38" s="7"/>
      <c r="E38" s="7"/>
      <c r="F38" s="23"/>
    </row>
    <row r="39">
      <c r="A39" s="9">
        <v>36</v>
      </c>
      <c r="B39" s="6"/>
      <c r="C39" s="4"/>
      <c r="D39" s="7"/>
      <c r="E39" s="7"/>
      <c r="F39" s="23"/>
    </row>
    <row r="40">
      <c r="A40" s="9">
        <v>37</v>
      </c>
      <c r="B40" s="6"/>
      <c r="C40" s="4"/>
      <c r="D40" s="7"/>
      <c r="E40" s="7"/>
      <c r="F40" s="23"/>
    </row>
    <row r="41">
      <c r="A41" s="9">
        <v>38</v>
      </c>
      <c r="B41" s="6"/>
      <c r="C41" s="4"/>
      <c r="D41" s="7"/>
      <c r="E41" s="7"/>
      <c r="F41" s="23"/>
    </row>
    <row r="42">
      <c r="A42" s="9">
        <v>39</v>
      </c>
      <c r="B42" s="6"/>
      <c r="C42" s="4"/>
      <c r="D42" s="7"/>
      <c r="E42" s="7"/>
      <c r="F42" s="23"/>
    </row>
    <row r="43">
      <c r="A43" s="9">
        <v>40</v>
      </c>
      <c r="B43" s="6"/>
      <c r="C43" s="4"/>
      <c r="D43" s="7"/>
      <c r="E43" s="7"/>
      <c r="F43" s="23"/>
    </row>
    <row r="44">
      <c r="A44" s="9">
        <v>41</v>
      </c>
      <c r="B44" s="6"/>
      <c r="C44" s="4"/>
      <c r="D44" s="7"/>
      <c r="E44" s="7"/>
      <c r="F44" s="23"/>
    </row>
    <row r="45">
      <c r="A45" s="9">
        <v>42</v>
      </c>
      <c r="B45" s="6"/>
      <c r="C45" s="4"/>
      <c r="D45" s="7"/>
      <c r="E45" s="7"/>
      <c r="F45" s="23"/>
    </row>
    <row r="46">
      <c r="A46" s="9">
        <v>43</v>
      </c>
      <c r="B46" s="6"/>
      <c r="C46" s="4"/>
      <c r="D46" s="7"/>
      <c r="E46" s="7"/>
      <c r="F46" s="23"/>
    </row>
    <row r="47">
      <c r="A47" s="9">
        <v>44</v>
      </c>
      <c r="B47" s="6"/>
      <c r="C47" s="4"/>
      <c r="D47" s="7"/>
      <c r="E47" s="7"/>
      <c r="F47" s="23"/>
    </row>
    <row r="48">
      <c r="A48" s="9">
        <v>45</v>
      </c>
      <c r="B48" s="6"/>
      <c r="C48" s="4"/>
      <c r="D48" s="7"/>
      <c r="E48" s="7"/>
      <c r="F48" s="23"/>
    </row>
    <row r="49">
      <c r="A49" s="9">
        <v>46</v>
      </c>
      <c r="B49" s="6"/>
      <c r="C49" s="4"/>
      <c r="D49" s="7"/>
      <c r="E49" s="7"/>
      <c r="F49" s="23"/>
    </row>
    <row r="50">
      <c r="A50" s="9">
        <v>47</v>
      </c>
      <c r="B50" s="6"/>
      <c r="C50" s="4"/>
      <c r="D50" s="7"/>
      <c r="E50" s="7"/>
      <c r="F50" s="23"/>
    </row>
    <row r="51">
      <c r="A51" s="9">
        <v>48</v>
      </c>
      <c r="B51" s="6"/>
      <c r="C51" s="4"/>
      <c r="D51" s="7"/>
      <c r="E51" s="7"/>
      <c r="F51" s="23"/>
    </row>
    <row r="52">
      <c r="A52" s="9">
        <v>49</v>
      </c>
      <c r="B52" s="6"/>
      <c r="C52" s="4"/>
      <c r="D52" s="7"/>
      <c r="E52" s="7"/>
      <c r="F52" s="23"/>
    </row>
    <row r="53">
      <c r="A53" s="9">
        <v>50</v>
      </c>
      <c r="B53" s="6"/>
      <c r="C53" s="4"/>
      <c r="D53" s="7"/>
      <c r="E53" s="7"/>
      <c r="F53" s="23"/>
    </row>
    <row r="54">
      <c r="A54" s="9">
        <v>51</v>
      </c>
      <c r="B54" s="6"/>
      <c r="C54" s="4"/>
      <c r="D54" s="7"/>
      <c r="E54" s="7"/>
      <c r="F54" s="23"/>
    </row>
    <row r="55">
      <c r="A55" s="9">
        <v>52</v>
      </c>
      <c r="B55" s="6"/>
      <c r="C55" s="4"/>
      <c r="D55" s="7"/>
      <c r="E55" s="7"/>
      <c r="F55" s="23"/>
    </row>
    <row r="56">
      <c r="A56" s="9">
        <v>53</v>
      </c>
      <c r="B56" s="6"/>
      <c r="C56" s="4"/>
      <c r="D56" s="7"/>
      <c r="E56" s="7"/>
      <c r="F56" s="23"/>
    </row>
    <row r="57">
      <c r="A57" s="9">
        <v>54</v>
      </c>
      <c r="B57" s="6"/>
      <c r="C57" s="4"/>
      <c r="D57" s="7"/>
      <c r="E57" s="7"/>
      <c r="F57" s="23"/>
    </row>
    <row r="58">
      <c r="A58" s="9">
        <v>55</v>
      </c>
      <c r="B58" s="6"/>
      <c r="C58" s="4"/>
      <c r="D58" s="7"/>
      <c r="E58" s="7"/>
      <c r="F58" s="23"/>
    </row>
    <row r="59">
      <c r="A59" s="9">
        <v>56</v>
      </c>
      <c r="B59" s="6"/>
      <c r="C59" s="4"/>
      <c r="D59" s="7"/>
      <c r="E59" s="7"/>
      <c r="F59" s="23"/>
    </row>
    <row r="60">
      <c r="A60" s="9">
        <v>57</v>
      </c>
      <c r="B60" s="6"/>
      <c r="C60" s="4"/>
      <c r="D60" s="7"/>
      <c r="E60" s="7"/>
      <c r="F60" s="23"/>
    </row>
    <row r="61">
      <c r="A61" s="9">
        <v>58</v>
      </c>
      <c r="B61" s="6"/>
      <c r="C61" s="4"/>
      <c r="D61" s="7"/>
      <c r="E61" s="7"/>
      <c r="F61" s="23"/>
    </row>
    <row r="62">
      <c r="A62" s="9">
        <v>59</v>
      </c>
      <c r="B62" s="6"/>
      <c r="C62" s="4"/>
      <c r="D62" s="7"/>
      <c r="E62" s="7"/>
      <c r="F62" s="23"/>
    </row>
    <row r="63">
      <c r="A63" s="9">
        <v>60</v>
      </c>
      <c r="B63" s="6"/>
      <c r="C63" s="4"/>
      <c r="D63" s="7"/>
      <c r="E63" s="7"/>
      <c r="F63" s="23"/>
    </row>
    <row r="64">
      <c r="A64" s="9">
        <v>61</v>
      </c>
      <c r="B64" s="6"/>
      <c r="C64" s="4"/>
      <c r="D64" s="7"/>
      <c r="E64" s="7"/>
      <c r="F64" s="23"/>
    </row>
    <row r="65">
      <c r="A65" s="9">
        <v>62</v>
      </c>
      <c r="B65" s="6"/>
      <c r="C65" s="4"/>
      <c r="D65" s="7"/>
      <c r="E65" s="7"/>
      <c r="F65" s="23"/>
    </row>
    <row r="66">
      <c r="A66" s="9">
        <v>63</v>
      </c>
      <c r="B66" s="6"/>
      <c r="C66" s="4"/>
      <c r="D66" s="7"/>
      <c r="E66" s="7"/>
      <c r="F66" s="23"/>
    </row>
    <row r="67">
      <c r="A67" s="9">
        <v>64</v>
      </c>
      <c r="B67" s="6"/>
      <c r="C67" s="4"/>
      <c r="D67" s="7"/>
      <c r="E67" s="7"/>
      <c r="F67" s="23"/>
    </row>
    <row r="68">
      <c r="A68" s="9">
        <v>65</v>
      </c>
      <c r="B68" s="6"/>
      <c r="C68" s="4"/>
      <c r="D68" s="7"/>
      <c r="E68" s="7"/>
      <c r="F68" s="23"/>
    </row>
    <row r="69">
      <c r="A69" s="9">
        <v>66</v>
      </c>
      <c r="B69" s="6"/>
      <c r="C69" s="4"/>
      <c r="D69" s="7"/>
      <c r="E69" s="7"/>
      <c r="F69" s="23"/>
    </row>
    <row r="70">
      <c r="A70" s="9">
        <v>67</v>
      </c>
      <c r="B70" s="6"/>
      <c r="C70" s="4"/>
      <c r="D70" s="7"/>
      <c r="E70" s="7"/>
      <c r="F70" s="23"/>
    </row>
    <row r="71">
      <c r="A71" s="9">
        <v>68</v>
      </c>
      <c r="B71" s="6"/>
      <c r="C71" s="4"/>
      <c r="D71" s="7"/>
      <c r="E71" s="7"/>
      <c r="F71" s="23"/>
    </row>
    <row r="72">
      <c r="A72" s="9">
        <v>69</v>
      </c>
      <c r="B72" s="6"/>
      <c r="C72" s="4"/>
      <c r="D72" s="7"/>
      <c r="E72" s="7"/>
      <c r="F72" s="23"/>
    </row>
    <row r="73">
      <c r="A73" s="9">
        <v>70</v>
      </c>
      <c r="B73" s="6"/>
      <c r="C73" s="4"/>
      <c r="D73" s="7"/>
      <c r="E73" s="7"/>
      <c r="F73" s="23"/>
    </row>
    <row r="74">
      <c r="A74" s="9">
        <v>71</v>
      </c>
      <c r="B74" s="6"/>
      <c r="C74" s="4"/>
      <c r="D74" s="7"/>
      <c r="E74" s="7"/>
      <c r="F74" s="23"/>
    </row>
    <row r="75">
      <c r="A75" s="9">
        <v>72</v>
      </c>
      <c r="B75" s="6"/>
      <c r="C75" s="4"/>
      <c r="D75" s="7"/>
      <c r="E75" s="7"/>
      <c r="F75" s="23"/>
    </row>
    <row r="76">
      <c r="A76" s="9">
        <v>73</v>
      </c>
      <c r="B76" s="6"/>
      <c r="C76" s="4"/>
      <c r="D76" s="7"/>
      <c r="E76" s="7"/>
      <c r="F76" s="23"/>
    </row>
    <row r="77">
      <c r="A77" s="9">
        <v>74</v>
      </c>
      <c r="B77" s="6"/>
      <c r="C77" s="4"/>
      <c r="D77" s="7"/>
      <c r="E77" s="7"/>
      <c r="F77" s="23"/>
    </row>
    <row r="78">
      <c r="A78" s="9">
        <v>75</v>
      </c>
      <c r="B78" s="6"/>
      <c r="C78" s="4"/>
      <c r="D78" s="7"/>
      <c r="E78" s="7"/>
      <c r="F78" s="23"/>
    </row>
    <row r="79">
      <c r="A79" s="9">
        <v>76</v>
      </c>
      <c r="B79" s="6"/>
      <c r="C79" s="4"/>
      <c r="D79" s="7"/>
      <c r="E79" s="7"/>
      <c r="F79" s="23"/>
    </row>
    <row r="80">
      <c r="A80" s="9">
        <v>77</v>
      </c>
      <c r="B80" s="6"/>
      <c r="C80" s="4"/>
      <c r="D80" s="7"/>
      <c r="E80" s="7"/>
      <c r="F80" s="23"/>
    </row>
    <row r="81">
      <c r="A81" s="9">
        <v>78</v>
      </c>
      <c r="B81" s="6"/>
      <c r="C81" s="4"/>
      <c r="D81" s="7"/>
      <c r="E81" s="7"/>
      <c r="F81" s="23"/>
    </row>
    <row r="82">
      <c r="A82" s="9">
        <v>79</v>
      </c>
      <c r="B82" s="6"/>
      <c r="C82" s="4"/>
      <c r="D82" s="7"/>
      <c r="E82" s="7"/>
      <c r="F82" s="23"/>
    </row>
    <row r="83">
      <c r="A83" s="9">
        <v>80</v>
      </c>
      <c r="B83" s="6"/>
      <c r="C83" s="4"/>
      <c r="D83" s="7"/>
      <c r="E83" s="7"/>
      <c r="F83" s="23"/>
    </row>
    <row r="84">
      <c r="A84" s="9">
        <v>81</v>
      </c>
      <c r="B84" s="6"/>
      <c r="C84" s="4"/>
      <c r="D84" s="7"/>
      <c r="E84" s="7"/>
      <c r="F84" s="23"/>
    </row>
    <row r="85">
      <c r="A85" s="9">
        <v>82</v>
      </c>
      <c r="B85" s="6"/>
      <c r="C85" s="4"/>
      <c r="D85" s="7"/>
      <c r="E85" s="7"/>
      <c r="F85" s="23"/>
    </row>
    <row r="86">
      <c r="A86" s="9">
        <v>83</v>
      </c>
      <c r="B86" s="6"/>
      <c r="C86" s="4"/>
      <c r="D86" s="7"/>
      <c r="E86" s="7"/>
      <c r="F86" s="23"/>
    </row>
    <row r="87">
      <c r="A87" s="9">
        <v>84</v>
      </c>
      <c r="B87" s="6"/>
      <c r="C87" s="4"/>
      <c r="D87" s="7"/>
      <c r="E87" s="7"/>
      <c r="F87" s="23"/>
    </row>
    <row r="88">
      <c r="A88" s="9">
        <v>85</v>
      </c>
      <c r="B88" s="6"/>
      <c r="C88" s="4"/>
      <c r="D88" s="7"/>
      <c r="E88" s="7"/>
      <c r="F88" s="23"/>
    </row>
    <row r="89">
      <c r="A89" s="9">
        <v>86</v>
      </c>
      <c r="B89" s="6"/>
      <c r="C89" s="4"/>
      <c r="D89" s="7"/>
      <c r="E89" s="7"/>
      <c r="F89" s="23"/>
    </row>
    <row r="90">
      <c r="A90" s="9">
        <v>87</v>
      </c>
      <c r="B90" s="6"/>
      <c r="C90" s="4"/>
      <c r="D90" s="7"/>
      <c r="E90" s="7"/>
      <c r="F90" s="23"/>
    </row>
    <row r="91">
      <c r="A91" s="9">
        <v>88</v>
      </c>
      <c r="B91" s="6"/>
      <c r="C91" s="4"/>
      <c r="D91" s="7"/>
      <c r="E91" s="7"/>
      <c r="F91" s="23"/>
    </row>
    <row r="92">
      <c r="A92" s="9">
        <v>89</v>
      </c>
      <c r="B92" s="6"/>
      <c r="C92" s="4"/>
      <c r="D92" s="7"/>
      <c r="E92" s="7"/>
      <c r="F92" s="23"/>
    </row>
    <row r="93">
      <c r="A93" s="9">
        <v>90</v>
      </c>
      <c r="B93" s="6"/>
      <c r="C93" s="4"/>
      <c r="D93" s="7"/>
      <c r="E93" s="7"/>
      <c r="F93" s="23"/>
    </row>
    <row r="94">
      <c r="A94" s="9">
        <v>91</v>
      </c>
      <c r="B94" s="6"/>
      <c r="C94" s="4"/>
      <c r="D94" s="7"/>
      <c r="E94" s="7"/>
      <c r="F94" s="23"/>
    </row>
    <row r="95">
      <c r="A95" s="9">
        <v>92</v>
      </c>
      <c r="B95" s="6"/>
      <c r="C95" s="4"/>
      <c r="D95" s="7"/>
      <c r="E95" s="7"/>
      <c r="F95" s="23"/>
    </row>
    <row r="96">
      <c r="A96" s="9">
        <v>93</v>
      </c>
      <c r="B96" s="6"/>
      <c r="C96" s="4"/>
      <c r="D96" s="7"/>
      <c r="E96" s="7"/>
      <c r="F96" s="23"/>
    </row>
    <row r="97">
      <c r="A97" s="9">
        <v>94</v>
      </c>
      <c r="B97" s="6"/>
      <c r="C97" s="4"/>
      <c r="D97" s="7"/>
      <c r="E97" s="7"/>
      <c r="F97" s="23"/>
    </row>
    <row r="98">
      <c r="A98" s="9">
        <v>95</v>
      </c>
      <c r="B98" s="6"/>
      <c r="C98" s="4"/>
      <c r="D98" s="7"/>
      <c r="E98" s="7"/>
      <c r="F98" s="23"/>
    </row>
    <row r="99">
      <c r="A99" s="9">
        <v>96</v>
      </c>
      <c r="B99" s="6"/>
      <c r="C99" s="4"/>
      <c r="D99" s="7"/>
      <c r="E99" s="7"/>
      <c r="F99" s="23"/>
    </row>
    <row r="100">
      <c r="A100" s="9">
        <v>97</v>
      </c>
      <c r="B100" s="6"/>
      <c r="C100" s="4"/>
      <c r="D100" s="7"/>
      <c r="E100" s="7"/>
      <c r="F100" s="23"/>
    </row>
    <row r="101">
      <c r="A101" s="9">
        <v>98</v>
      </c>
      <c r="B101" s="6"/>
      <c r="C101" s="4"/>
      <c r="D101" s="7"/>
      <c r="E101" s="7"/>
      <c r="F101" s="23"/>
    </row>
    <row r="102">
      <c r="A102" s="9">
        <v>99</v>
      </c>
      <c r="B102" s="6"/>
      <c r="C102" s="4"/>
      <c r="D102" s="7"/>
      <c r="E102" s="7"/>
      <c r="F102" s="23"/>
    </row>
    <row r="103">
      <c r="A103" s="9">
        <v>100</v>
      </c>
      <c r="B103" s="6"/>
      <c r="C103" s="4"/>
      <c r="D103" s="7"/>
      <c r="E103" s="7"/>
      <c r="F103" s="23"/>
    </row>
    <row r="104">
      <c r="A104" s="9">
        <v>101</v>
      </c>
      <c r="B104" s="6"/>
      <c r="C104" s="4"/>
      <c r="D104" s="7"/>
      <c r="E104" s="7"/>
      <c r="F104" s="23"/>
    </row>
    <row r="105">
      <c r="A105" s="9">
        <v>102</v>
      </c>
      <c r="B105" s="6"/>
      <c r="C105" s="4"/>
      <c r="D105" s="7"/>
      <c r="E105" s="7"/>
      <c r="F105" s="23"/>
    </row>
    <row r="106">
      <c r="A106" s="9">
        <v>103</v>
      </c>
      <c r="B106" s="6"/>
      <c r="C106" s="4"/>
      <c r="D106" s="7"/>
      <c r="E106" s="7"/>
      <c r="F106" s="23"/>
    </row>
    <row r="107">
      <c r="A107" s="9">
        <v>104</v>
      </c>
      <c r="B107" s="6"/>
      <c r="C107" s="4"/>
      <c r="D107" s="7"/>
      <c r="E107" s="7"/>
      <c r="F107" s="23"/>
    </row>
    <row r="108">
      <c r="A108" s="9">
        <v>105</v>
      </c>
      <c r="B108" s="6"/>
      <c r="C108" s="4"/>
      <c r="D108" s="7"/>
      <c r="E108" s="7"/>
      <c r="F108" s="23"/>
    </row>
    <row r="109">
      <c r="A109" s="9">
        <v>106</v>
      </c>
      <c r="B109" s="6"/>
      <c r="C109" s="4"/>
      <c r="D109" s="7"/>
      <c r="E109" s="7"/>
      <c r="F109" s="23"/>
    </row>
    <row r="110">
      <c r="A110" s="9">
        <v>107</v>
      </c>
      <c r="B110" s="6"/>
      <c r="C110" s="4"/>
      <c r="D110" s="7"/>
      <c r="E110" s="7"/>
      <c r="F110" s="23"/>
    </row>
    <row r="111">
      <c r="A111" s="9">
        <v>108</v>
      </c>
      <c r="B111" s="6"/>
      <c r="C111" s="4"/>
      <c r="D111" s="7"/>
      <c r="E111" s="7"/>
      <c r="F111" s="23"/>
    </row>
    <row r="112">
      <c r="A112" s="9">
        <v>109</v>
      </c>
      <c r="B112" s="6"/>
      <c r="C112" s="4"/>
      <c r="D112" s="7"/>
      <c r="E112" s="7"/>
      <c r="F112" s="23"/>
    </row>
    <row r="113">
      <c r="A113" s="9">
        <v>110</v>
      </c>
      <c r="B113" s="6"/>
      <c r="C113" s="4"/>
      <c r="D113" s="7"/>
      <c r="E113" s="7"/>
      <c r="F113" s="23"/>
    </row>
    <row r="114">
      <c r="A114" s="9">
        <v>111</v>
      </c>
      <c r="B114" s="6"/>
      <c r="C114" s="4"/>
      <c r="D114" s="7"/>
      <c r="E114" s="7"/>
      <c r="F114" s="23"/>
    </row>
    <row r="115">
      <c r="A115" s="9">
        <v>112</v>
      </c>
      <c r="B115" s="6"/>
      <c r="C115" s="4"/>
      <c r="D115" s="7"/>
      <c r="E115" s="7"/>
      <c r="F115" s="23"/>
    </row>
    <row r="116">
      <c r="A116" s="9">
        <v>113</v>
      </c>
      <c r="B116" s="6"/>
      <c r="C116" s="4"/>
      <c r="D116" s="7"/>
      <c r="E116" s="7"/>
      <c r="F116" s="23"/>
    </row>
    <row r="117">
      <c r="A117" s="9">
        <v>114</v>
      </c>
      <c r="B117" s="6"/>
      <c r="C117" s="4"/>
      <c r="D117" s="7"/>
      <c r="E117" s="7"/>
      <c r="F117" s="23"/>
    </row>
    <row r="118">
      <c r="A118" s="9">
        <v>115</v>
      </c>
      <c r="B118" s="6"/>
      <c r="C118" s="4"/>
      <c r="D118" s="7"/>
      <c r="E118" s="7"/>
      <c r="F118" s="23"/>
    </row>
    <row r="119">
      <c r="A119" s="9">
        <v>116</v>
      </c>
      <c r="B119" s="6"/>
      <c r="C119" s="4"/>
      <c r="D119" s="7"/>
      <c r="E119" s="7"/>
      <c r="F119" s="23"/>
    </row>
    <row r="120">
      <c r="A120" s="9">
        <v>117</v>
      </c>
      <c r="B120" s="6"/>
      <c r="C120" s="4"/>
      <c r="D120" s="7"/>
      <c r="E120" s="7"/>
      <c r="F120" s="23"/>
    </row>
    <row r="121">
      <c r="A121" s="9">
        <v>118</v>
      </c>
      <c r="B121" s="6"/>
      <c r="C121" s="4"/>
      <c r="D121" s="7"/>
      <c r="E121" s="7"/>
      <c r="F121" s="23"/>
    </row>
    <row r="122">
      <c r="A122" s="9">
        <v>119</v>
      </c>
      <c r="B122" s="6"/>
      <c r="C122" s="4"/>
      <c r="D122" s="7"/>
      <c r="E122" s="7"/>
      <c r="F122" s="23"/>
    </row>
    <row r="123">
      <c r="A123" s="9">
        <v>120</v>
      </c>
      <c r="B123" s="6"/>
      <c r="C123" s="4"/>
      <c r="D123" s="7"/>
      <c r="E123" s="7"/>
      <c r="F123" s="23"/>
    </row>
    <row r="124">
      <c r="A124" s="9">
        <v>121</v>
      </c>
      <c r="B124" s="6"/>
      <c r="C124" s="4"/>
      <c r="D124" s="7"/>
      <c r="E124" s="7"/>
      <c r="F124" s="23"/>
    </row>
    <row r="125">
      <c r="A125" s="9">
        <v>122</v>
      </c>
      <c r="B125" s="6"/>
      <c r="C125" s="4"/>
      <c r="D125" s="7"/>
      <c r="E125" s="7"/>
      <c r="F125" s="23"/>
    </row>
    <row r="126">
      <c r="A126" s="9">
        <v>123</v>
      </c>
      <c r="B126" s="6"/>
      <c r="C126" s="4"/>
      <c r="D126" s="7"/>
      <c r="E126" s="7"/>
      <c r="F126" s="23"/>
    </row>
    <row r="127">
      <c r="A127" s="9">
        <v>124</v>
      </c>
      <c r="B127" s="6"/>
      <c r="C127" s="4"/>
      <c r="D127" s="7"/>
      <c r="E127" s="7"/>
      <c r="F127" s="23"/>
    </row>
    <row r="128">
      <c r="A128" s="9">
        <v>125</v>
      </c>
      <c r="B128" s="6"/>
      <c r="C128" s="4"/>
      <c r="D128" s="7"/>
      <c r="E128" s="7"/>
      <c r="F128" s="23"/>
    </row>
    <row r="129">
      <c r="A129" s="9">
        <v>126</v>
      </c>
      <c r="B129" s="6"/>
      <c r="C129" s="4"/>
      <c r="D129" s="7"/>
      <c r="E129" s="7"/>
      <c r="F129" s="23"/>
    </row>
    <row r="130">
      <c r="A130" s="9">
        <v>127</v>
      </c>
      <c r="B130" s="6"/>
      <c r="C130" s="4"/>
      <c r="D130" s="7"/>
      <c r="E130" s="7"/>
      <c r="F130" s="23"/>
    </row>
    <row r="131">
      <c r="A131" s="9">
        <v>128</v>
      </c>
      <c r="B131" s="6"/>
      <c r="C131" s="4"/>
      <c r="D131" s="7"/>
      <c r="E131" s="7"/>
      <c r="F131" s="23"/>
    </row>
    <row r="132">
      <c r="A132" s="9">
        <v>129</v>
      </c>
      <c r="B132" s="6"/>
      <c r="C132" s="4"/>
      <c r="D132" s="7"/>
      <c r="E132" s="7"/>
      <c r="F132" s="23"/>
    </row>
    <row r="133">
      <c r="A133" s="9">
        <v>130</v>
      </c>
      <c r="B133" s="6"/>
      <c r="C133" s="4"/>
      <c r="D133" s="7"/>
      <c r="E133" s="7"/>
      <c r="F133" s="23"/>
    </row>
    <row r="134">
      <c r="A134" s="9">
        <v>131</v>
      </c>
      <c r="B134" s="6"/>
      <c r="C134" s="4"/>
      <c r="D134" s="7"/>
      <c r="E134" s="7"/>
      <c r="F134" s="23"/>
    </row>
    <row r="135">
      <c r="A135" s="9">
        <v>132</v>
      </c>
      <c r="B135" s="6"/>
      <c r="C135" s="4"/>
      <c r="D135" s="7"/>
      <c r="E135" s="7"/>
      <c r="F135" s="23"/>
    </row>
    <row r="136">
      <c r="A136" s="9">
        <v>133</v>
      </c>
      <c r="B136" s="6"/>
      <c r="C136" s="4"/>
      <c r="D136" s="7"/>
      <c r="E136" s="7"/>
      <c r="F136" s="23"/>
    </row>
    <row r="137">
      <c r="A137" s="9">
        <v>134</v>
      </c>
      <c r="B137" s="6"/>
      <c r="C137" s="4"/>
      <c r="D137" s="7"/>
      <c r="E137" s="7"/>
      <c r="F137" s="23"/>
    </row>
    <row r="138">
      <c r="A138" s="9">
        <v>135</v>
      </c>
      <c r="B138" s="6"/>
      <c r="C138" s="4"/>
      <c r="D138" s="7"/>
      <c r="E138" s="7"/>
      <c r="F138" s="23"/>
    </row>
    <row r="139">
      <c r="A139" s="9">
        <v>136</v>
      </c>
      <c r="B139" s="6"/>
      <c r="C139" s="4"/>
      <c r="D139" s="7"/>
      <c r="E139" s="7"/>
      <c r="F139" s="23"/>
    </row>
    <row r="140">
      <c r="A140" s="9">
        <v>137</v>
      </c>
      <c r="B140" s="6"/>
      <c r="C140" s="4"/>
      <c r="D140" s="7"/>
      <c r="E140" s="7"/>
      <c r="F140" s="23"/>
    </row>
    <row r="141">
      <c r="A141" s="9">
        <v>138</v>
      </c>
      <c r="B141" s="6"/>
      <c r="C141" s="4"/>
      <c r="D141" s="7"/>
      <c r="E141" s="7"/>
      <c r="F141" s="23"/>
    </row>
    <row r="142">
      <c r="A142" s="9">
        <v>139</v>
      </c>
      <c r="B142" s="6"/>
      <c r="C142" s="4"/>
      <c r="D142" s="7"/>
      <c r="E142" s="7"/>
      <c r="F142" s="23"/>
    </row>
    <row r="143">
      <c r="A143" s="9">
        <v>140</v>
      </c>
      <c r="B143" s="6"/>
      <c r="C143" s="4"/>
      <c r="D143" s="7"/>
      <c r="E143" s="7"/>
      <c r="F143" s="23"/>
    </row>
    <row r="144">
      <c r="A144" s="9">
        <v>141</v>
      </c>
      <c r="B144" s="6"/>
      <c r="C144" s="4"/>
      <c r="D144" s="7"/>
      <c r="E144" s="7"/>
      <c r="F144" s="23"/>
    </row>
    <row r="145">
      <c r="A145" s="9">
        <v>142</v>
      </c>
      <c r="B145" s="6"/>
      <c r="C145" s="4"/>
      <c r="D145" s="7"/>
      <c r="E145" s="7"/>
      <c r="F145" s="23"/>
    </row>
    <row r="146">
      <c r="A146" s="9">
        <v>143</v>
      </c>
      <c r="B146" s="6"/>
      <c r="C146" s="4"/>
      <c r="D146" s="7"/>
      <c r="E146" s="7"/>
      <c r="F146" s="23"/>
    </row>
    <row r="147">
      <c r="A147" s="9">
        <v>144</v>
      </c>
      <c r="B147" s="6"/>
      <c r="C147" s="4"/>
      <c r="D147" s="7"/>
      <c r="E147" s="7"/>
      <c r="F147" s="23"/>
    </row>
    <row r="148">
      <c r="A148" s="9">
        <v>145</v>
      </c>
      <c r="B148" s="6"/>
      <c r="C148" s="4"/>
      <c r="D148" s="7"/>
      <c r="E148" s="7"/>
      <c r="F148" s="23"/>
    </row>
    <row r="149">
      <c r="A149" s="9">
        <v>146</v>
      </c>
      <c r="B149" s="6"/>
      <c r="C149" s="4"/>
      <c r="D149" s="7"/>
      <c r="E149" s="7"/>
      <c r="F149" s="23"/>
    </row>
    <row r="150">
      <c r="A150" s="9">
        <v>147</v>
      </c>
      <c r="B150" s="6"/>
      <c r="C150" s="4"/>
      <c r="D150" s="7"/>
      <c r="E150" s="7"/>
      <c r="F150" s="23"/>
    </row>
    <row r="151">
      <c r="A151" s="9">
        <v>148</v>
      </c>
      <c r="B151" s="6"/>
      <c r="C151" s="4"/>
      <c r="D151" s="7"/>
      <c r="E151" s="7"/>
      <c r="F151" s="23"/>
    </row>
    <row r="152">
      <c r="A152" s="9">
        <v>149</v>
      </c>
      <c r="B152" s="6"/>
      <c r="C152" s="4"/>
      <c r="D152" s="7"/>
      <c r="E152" s="7"/>
      <c r="F152" s="23"/>
    </row>
    <row r="153">
      <c r="A153" s="9">
        <v>150</v>
      </c>
      <c r="B153" s="6"/>
      <c r="C153" s="4"/>
      <c r="D153" s="7"/>
      <c r="E153" s="7"/>
      <c r="F153" s="23"/>
    </row>
    <row r="154">
      <c r="A154" s="9">
        <v>151</v>
      </c>
      <c r="B154" s="6"/>
      <c r="C154" s="4"/>
      <c r="D154" s="7"/>
      <c r="E154" s="7"/>
      <c r="F154" s="23"/>
    </row>
    <row r="155">
      <c r="A155" s="9">
        <v>152</v>
      </c>
      <c r="B155" s="6"/>
      <c r="C155" s="4"/>
      <c r="D155" s="7"/>
      <c r="E155" s="7"/>
      <c r="F155" s="23"/>
    </row>
    <row r="156">
      <c r="A156" s="9">
        <v>153</v>
      </c>
      <c r="B156" s="6"/>
      <c r="C156" s="4"/>
      <c r="D156" s="7"/>
      <c r="E156" s="7"/>
      <c r="F156" s="23"/>
    </row>
    <row r="157">
      <c r="A157" s="9">
        <v>154</v>
      </c>
      <c r="B157" s="6"/>
      <c r="C157" s="4"/>
      <c r="D157" s="7"/>
      <c r="E157" s="7"/>
      <c r="F157" s="23"/>
    </row>
    <row r="158">
      <c r="A158" s="9">
        <v>155</v>
      </c>
      <c r="B158" s="6"/>
      <c r="C158" s="4"/>
      <c r="D158" s="7"/>
      <c r="E158" s="7"/>
      <c r="F158" s="23"/>
    </row>
    <row r="159">
      <c r="A159" s="9">
        <v>156</v>
      </c>
      <c r="B159" s="6"/>
      <c r="C159" s="4"/>
      <c r="D159" s="7"/>
      <c r="E159" s="7"/>
      <c r="F159" s="23"/>
    </row>
    <row r="160">
      <c r="A160" s="9">
        <v>157</v>
      </c>
      <c r="B160" s="6"/>
      <c r="C160" s="4"/>
      <c r="D160" s="7"/>
      <c r="E160" s="7"/>
      <c r="F160" s="23"/>
    </row>
    <row r="161">
      <c r="A161" s="9">
        <v>158</v>
      </c>
      <c r="B161" s="6"/>
      <c r="C161" s="4"/>
      <c r="D161" s="7"/>
      <c r="E161" s="7"/>
      <c r="F161" s="23"/>
    </row>
    <row r="162">
      <c r="A162" s="9">
        <v>159</v>
      </c>
      <c r="B162" s="6"/>
      <c r="C162" s="4"/>
      <c r="D162" s="7"/>
      <c r="E162" s="7"/>
      <c r="F162" s="23"/>
    </row>
    <row r="163">
      <c r="A163" s="9">
        <v>160</v>
      </c>
      <c r="B163" s="6"/>
      <c r="C163" s="4"/>
      <c r="D163" s="7"/>
      <c r="E163" s="7"/>
      <c r="F163" s="23"/>
    </row>
    <row r="164">
      <c r="A164" s="9">
        <v>161</v>
      </c>
      <c r="B164" s="6"/>
      <c r="C164" s="4"/>
      <c r="D164" s="7"/>
      <c r="E164" s="7"/>
      <c r="F164" s="23"/>
    </row>
    <row r="165">
      <c r="A165" s="9">
        <v>162</v>
      </c>
      <c r="B165" s="6"/>
      <c r="C165" s="4"/>
      <c r="D165" s="7"/>
      <c r="E165" s="7"/>
      <c r="F165" s="23"/>
    </row>
    <row r="166">
      <c r="A166" s="9">
        <v>163</v>
      </c>
      <c r="B166" s="6"/>
      <c r="C166" s="4"/>
      <c r="D166" s="7"/>
      <c r="E166" s="7"/>
      <c r="F166" s="23"/>
    </row>
    <row r="167">
      <c r="A167" s="9">
        <v>164</v>
      </c>
      <c r="B167" s="6"/>
      <c r="C167" s="4"/>
      <c r="D167" s="7"/>
      <c r="E167" s="7"/>
      <c r="F167" s="23"/>
    </row>
    <row r="168">
      <c r="A168" s="9">
        <v>165</v>
      </c>
      <c r="B168" s="6"/>
      <c r="C168" s="4"/>
      <c r="D168" s="7"/>
      <c r="E168" s="7"/>
      <c r="F168" s="23"/>
    </row>
    <row r="169">
      <c r="A169" s="9">
        <v>166</v>
      </c>
      <c r="B169" s="6"/>
      <c r="C169" s="4"/>
      <c r="D169" s="7"/>
      <c r="E169" s="7"/>
      <c r="F169" s="23"/>
    </row>
    <row r="170">
      <c r="A170" s="9">
        <v>167</v>
      </c>
      <c r="B170" s="6"/>
      <c r="C170" s="4"/>
      <c r="D170" s="7"/>
      <c r="E170" s="7"/>
      <c r="F170" s="23"/>
    </row>
    <row r="171">
      <c r="A171" s="9">
        <v>168</v>
      </c>
      <c r="B171" s="6"/>
      <c r="C171" s="4"/>
      <c r="D171" s="7"/>
      <c r="E171" s="7"/>
      <c r="F171" s="23"/>
    </row>
    <row r="172">
      <c r="A172" s="9">
        <v>169</v>
      </c>
      <c r="B172" s="6"/>
      <c r="C172" s="4"/>
      <c r="D172" s="7"/>
      <c r="E172" s="7"/>
      <c r="F172" s="23"/>
    </row>
    <row r="173">
      <c r="A173" s="9">
        <v>170</v>
      </c>
      <c r="B173" s="6"/>
      <c r="C173" s="4"/>
      <c r="D173" s="7"/>
      <c r="E173" s="7"/>
      <c r="F173" s="23"/>
    </row>
    <row r="174">
      <c r="A174" s="9">
        <v>171</v>
      </c>
      <c r="B174" s="6"/>
      <c r="C174" s="4"/>
      <c r="D174" s="7"/>
      <c r="E174" s="7"/>
      <c r="F174" s="23"/>
    </row>
    <row r="175">
      <c r="A175" s="9">
        <v>172</v>
      </c>
      <c r="B175" s="6"/>
      <c r="C175" s="4"/>
      <c r="D175" s="7"/>
      <c r="E175" s="7"/>
      <c r="F175" s="23"/>
    </row>
    <row r="176">
      <c r="A176" s="9">
        <v>173</v>
      </c>
      <c r="B176" s="6"/>
      <c r="C176" s="4"/>
      <c r="D176" s="7"/>
      <c r="E176" s="7"/>
      <c r="F176" s="23"/>
    </row>
    <row r="177">
      <c r="A177" s="9">
        <v>174</v>
      </c>
      <c r="B177" s="6"/>
      <c r="C177" s="4"/>
      <c r="D177" s="7"/>
      <c r="E177" s="7"/>
      <c r="F177" s="23"/>
    </row>
    <row r="178">
      <c r="A178" s="9">
        <v>175</v>
      </c>
      <c r="B178" s="6"/>
      <c r="C178" s="4"/>
      <c r="D178" s="7"/>
      <c r="E178" s="7"/>
      <c r="F178" s="23"/>
    </row>
    <row r="179">
      <c r="A179" s="9">
        <v>176</v>
      </c>
      <c r="B179" s="6"/>
      <c r="C179" s="4"/>
      <c r="D179" s="7"/>
      <c r="E179" s="7"/>
      <c r="F179" s="23"/>
    </row>
    <row r="180">
      <c r="A180" s="9">
        <v>177</v>
      </c>
      <c r="B180" s="6"/>
      <c r="C180" s="4"/>
      <c r="D180" s="7"/>
      <c r="E180" s="7"/>
      <c r="F180" s="23"/>
    </row>
    <row r="181">
      <c r="A181" s="9">
        <v>178</v>
      </c>
      <c r="B181" s="6"/>
      <c r="C181" s="4"/>
      <c r="D181" s="7"/>
      <c r="E181" s="7"/>
      <c r="F181" s="23"/>
    </row>
    <row r="182">
      <c r="A182" s="9">
        <v>179</v>
      </c>
      <c r="B182" s="6"/>
      <c r="C182" s="4"/>
      <c r="D182" s="7"/>
      <c r="E182" s="7"/>
      <c r="F182" s="23"/>
    </row>
    <row r="183">
      <c r="A183" s="9">
        <v>180</v>
      </c>
      <c r="B183" s="6"/>
      <c r="C183" s="4"/>
      <c r="D183" s="7"/>
      <c r="E183" s="7"/>
      <c r="F183" s="23"/>
    </row>
    <row r="184">
      <c r="A184" s="9">
        <v>181</v>
      </c>
      <c r="B184" s="6"/>
      <c r="C184" s="4"/>
      <c r="D184" s="7"/>
      <c r="E184" s="7"/>
      <c r="F184" s="23"/>
    </row>
    <row r="185">
      <c r="A185" s="9">
        <v>182</v>
      </c>
      <c r="B185" s="6"/>
      <c r="C185" s="4"/>
      <c r="D185" s="7"/>
      <c r="E185" s="7"/>
      <c r="F185" s="23"/>
    </row>
    <row r="186">
      <c r="A186" s="9">
        <v>183</v>
      </c>
      <c r="B186" s="6"/>
      <c r="C186" s="4"/>
      <c r="D186" s="7"/>
      <c r="E186" s="7"/>
      <c r="F186" s="23"/>
    </row>
    <row r="187">
      <c r="A187" s="9">
        <v>184</v>
      </c>
      <c r="B187" s="6"/>
      <c r="C187" s="4"/>
      <c r="D187" s="7"/>
      <c r="E187" s="7"/>
      <c r="F187" s="23"/>
    </row>
    <row r="188">
      <c r="A188" s="9">
        <v>185</v>
      </c>
      <c r="B188" s="6"/>
      <c r="C188" s="4"/>
      <c r="D188" s="7"/>
      <c r="E188" s="7"/>
      <c r="F188" s="23"/>
    </row>
    <row r="189">
      <c r="A189" s="9">
        <v>186</v>
      </c>
      <c r="B189" s="6"/>
      <c r="C189" s="4"/>
      <c r="D189" s="7"/>
      <c r="E189" s="7"/>
      <c r="F189" s="23"/>
    </row>
    <row r="190">
      <c r="A190" s="9">
        <v>187</v>
      </c>
      <c r="B190" s="6"/>
      <c r="C190" s="4"/>
      <c r="D190" s="7"/>
      <c r="E190" s="7"/>
      <c r="F190" s="23"/>
    </row>
    <row r="191">
      <c r="A191" s="9">
        <v>188</v>
      </c>
      <c r="B191" s="6"/>
      <c r="C191" s="4"/>
      <c r="D191" s="7"/>
      <c r="E191" s="7"/>
      <c r="F191" s="23"/>
    </row>
    <row r="192">
      <c r="A192" s="9">
        <v>189</v>
      </c>
      <c r="B192" s="6"/>
      <c r="C192" s="4"/>
      <c r="D192" s="7"/>
      <c r="E192" s="7"/>
      <c r="F192" s="23"/>
    </row>
    <row r="193">
      <c r="A193" s="9">
        <v>190</v>
      </c>
      <c r="B193" s="6"/>
      <c r="C193" s="4"/>
      <c r="D193" s="7"/>
      <c r="E193" s="7"/>
      <c r="F193" s="23"/>
    </row>
    <row r="194">
      <c r="A194" s="9">
        <v>191</v>
      </c>
      <c r="B194" s="6"/>
      <c r="C194" s="4"/>
      <c r="D194" s="7"/>
      <c r="E194" s="7"/>
      <c r="F194" s="23"/>
    </row>
    <row r="195">
      <c r="A195" s="9">
        <v>192</v>
      </c>
      <c r="B195" s="6"/>
      <c r="C195" s="4"/>
      <c r="D195" s="7"/>
      <c r="E195" s="7"/>
      <c r="F195" s="23"/>
    </row>
    <row r="196">
      <c r="A196" s="9">
        <v>193</v>
      </c>
      <c r="B196" s="6"/>
      <c r="C196" s="4"/>
      <c r="D196" s="7"/>
      <c r="E196" s="7"/>
      <c r="F196" s="23"/>
    </row>
    <row r="197">
      <c r="A197" s="9">
        <v>194</v>
      </c>
      <c r="B197" s="6"/>
      <c r="C197" s="4"/>
      <c r="D197" s="7"/>
      <c r="E197" s="7"/>
      <c r="F197" s="23"/>
    </row>
    <row r="198">
      <c r="A198" s="9">
        <v>195</v>
      </c>
      <c r="B198" s="6"/>
      <c r="C198" s="4"/>
      <c r="D198" s="7"/>
      <c r="E198" s="7"/>
      <c r="F198" s="23"/>
    </row>
    <row r="199">
      <c r="A199" s="9">
        <v>196</v>
      </c>
      <c r="B199" s="6"/>
      <c r="C199" s="4"/>
      <c r="D199" s="7"/>
      <c r="E199" s="7"/>
      <c r="F199" s="23"/>
    </row>
    <row r="200">
      <c r="A200" s="9">
        <v>197</v>
      </c>
      <c r="B200" s="6"/>
      <c r="C200" s="4"/>
      <c r="D200" s="7"/>
      <c r="E200" s="7"/>
      <c r="F200" s="23"/>
    </row>
    <row r="201">
      <c r="A201" s="9">
        <v>198</v>
      </c>
      <c r="B201" s="6"/>
      <c r="C201" s="4"/>
      <c r="D201" s="7"/>
      <c r="E201" s="7"/>
      <c r="F201" s="23"/>
    </row>
    <row r="202">
      <c r="A202" s="9">
        <v>199</v>
      </c>
      <c r="B202" s="6"/>
      <c r="C202" s="4"/>
      <c r="D202" s="7"/>
      <c r="E202" s="7"/>
      <c r="F202" s="23"/>
    </row>
    <row r="203">
      <c r="A203" s="9">
        <v>200</v>
      </c>
      <c r="B203" s="6"/>
      <c r="C203" s="4"/>
      <c r="D203" s="7"/>
      <c r="E203" s="7"/>
      <c r="F203" s="23"/>
    </row>
    <row r="204">
      <c r="A204" s="9">
        <v>201</v>
      </c>
      <c r="B204" s="6"/>
      <c r="C204" s="4"/>
      <c r="D204" s="7"/>
      <c r="E204" s="7"/>
      <c r="F204" s="23"/>
    </row>
    <row r="205">
      <c r="A205" s="9">
        <v>202</v>
      </c>
      <c r="B205" s="6"/>
      <c r="C205" s="4"/>
      <c r="D205" s="7"/>
      <c r="E205" s="7"/>
      <c r="F205" s="23"/>
    </row>
    <row r="206">
      <c r="A206" s="9">
        <v>203</v>
      </c>
      <c r="B206" s="6"/>
      <c r="C206" s="4"/>
      <c r="D206" s="7"/>
      <c r="E206" s="7"/>
      <c r="F206" s="23"/>
    </row>
    <row r="207">
      <c r="A207" s="9">
        <v>204</v>
      </c>
      <c r="B207" s="6"/>
      <c r="C207" s="4"/>
      <c r="D207" s="7"/>
      <c r="E207" s="7"/>
      <c r="F207" s="23"/>
    </row>
    <row r="208">
      <c r="A208" s="9">
        <v>205</v>
      </c>
      <c r="B208" s="6"/>
      <c r="C208" s="4"/>
      <c r="D208" s="7"/>
      <c r="E208" s="7"/>
      <c r="F208" s="23"/>
    </row>
    <row r="209">
      <c r="A209" s="9">
        <v>206</v>
      </c>
      <c r="B209" s="6"/>
      <c r="C209" s="4"/>
      <c r="D209" s="7"/>
      <c r="E209" s="7"/>
      <c r="F209" s="23"/>
    </row>
    <row r="210">
      <c r="A210" s="9">
        <v>207</v>
      </c>
      <c r="B210" s="6"/>
      <c r="C210" s="4"/>
      <c r="D210" s="7"/>
      <c r="E210" s="7"/>
      <c r="F210" s="23"/>
    </row>
    <row r="211">
      <c r="A211" s="9">
        <v>208</v>
      </c>
      <c r="B211" s="6"/>
      <c r="C211" s="4"/>
      <c r="D211" s="7"/>
      <c r="E211" s="7"/>
      <c r="F211" s="23"/>
    </row>
    <row r="212">
      <c r="A212" s="9">
        <v>209</v>
      </c>
      <c r="B212" s="6"/>
      <c r="C212" s="4"/>
      <c r="D212" s="7"/>
      <c r="E212" s="7"/>
      <c r="F212" s="23"/>
    </row>
    <row r="213">
      <c r="A213" s="9">
        <v>210</v>
      </c>
      <c r="B213" s="6"/>
      <c r="C213" s="4"/>
      <c r="D213" s="7"/>
      <c r="E213" s="7"/>
      <c r="F213" s="23"/>
    </row>
    <row r="214">
      <c r="A214" s="9">
        <v>211</v>
      </c>
      <c r="B214" s="6"/>
      <c r="C214" s="4"/>
      <c r="D214" s="7"/>
      <c r="E214" s="7"/>
      <c r="F214" s="23"/>
    </row>
    <row r="215">
      <c r="A215" s="9">
        <v>212</v>
      </c>
      <c r="B215" s="6"/>
      <c r="C215" s="4"/>
      <c r="D215" s="7"/>
      <c r="E215" s="7"/>
      <c r="F215" s="23"/>
    </row>
    <row r="216">
      <c r="A216" s="9">
        <v>213</v>
      </c>
      <c r="B216" s="6"/>
      <c r="C216" s="4"/>
      <c r="D216" s="7"/>
      <c r="E216" s="7"/>
      <c r="F216" s="23"/>
    </row>
    <row r="217">
      <c r="A217" s="9">
        <v>214</v>
      </c>
      <c r="B217" s="6"/>
      <c r="C217" s="4"/>
      <c r="D217" s="7"/>
      <c r="E217" s="7"/>
      <c r="F217" s="23"/>
    </row>
    <row r="218">
      <c r="A218" s="9">
        <v>215</v>
      </c>
      <c r="B218" s="6"/>
      <c r="C218" s="4"/>
      <c r="D218" s="7"/>
      <c r="E218" s="7"/>
      <c r="F218" s="23"/>
    </row>
    <row r="219">
      <c r="A219" s="9">
        <v>216</v>
      </c>
      <c r="B219" s="6"/>
      <c r="C219" s="4"/>
      <c r="D219" s="7"/>
      <c r="E219" s="7"/>
      <c r="F219" s="23"/>
    </row>
    <row r="220">
      <c r="A220" s="9">
        <v>217</v>
      </c>
      <c r="B220" s="6"/>
      <c r="C220" s="4"/>
      <c r="D220" s="7"/>
      <c r="E220" s="7"/>
      <c r="F220" s="23"/>
    </row>
    <row r="221">
      <c r="A221" s="9">
        <v>218</v>
      </c>
      <c r="B221" s="6"/>
      <c r="C221" s="4"/>
      <c r="D221" s="7"/>
      <c r="E221" s="7"/>
      <c r="F221" s="23"/>
    </row>
    <row r="222">
      <c r="A222" s="9">
        <v>219</v>
      </c>
      <c r="B222" s="6"/>
      <c r="C222" s="4"/>
      <c r="D222" s="7"/>
      <c r="E222" s="7"/>
      <c r="F222" s="23"/>
    </row>
    <row r="223">
      <c r="A223" s="9">
        <v>220</v>
      </c>
      <c r="B223" s="6"/>
      <c r="C223" s="4"/>
      <c r="D223" s="7"/>
      <c r="E223" s="7"/>
      <c r="F223" s="23"/>
    </row>
    <row r="224">
      <c r="A224" s="9">
        <v>221</v>
      </c>
      <c r="B224" s="6"/>
      <c r="C224" s="4"/>
      <c r="D224" s="7"/>
      <c r="E224" s="7"/>
      <c r="F224" s="23"/>
    </row>
    <row r="225">
      <c r="A225" s="9">
        <v>222</v>
      </c>
      <c r="B225" s="6"/>
      <c r="C225" s="4"/>
      <c r="D225" s="7"/>
      <c r="E225" s="7"/>
      <c r="F225" s="23"/>
    </row>
    <row r="226">
      <c r="A226" s="9">
        <v>223</v>
      </c>
      <c r="B226" s="6"/>
      <c r="C226" s="4"/>
      <c r="D226" s="7"/>
      <c r="E226" s="7"/>
      <c r="F226" s="23"/>
    </row>
    <row r="227">
      <c r="A227" s="9">
        <v>224</v>
      </c>
      <c r="B227" s="6"/>
      <c r="C227" s="4"/>
      <c r="D227" s="7"/>
      <c r="E227" s="7"/>
      <c r="F227" s="23"/>
    </row>
    <row r="228">
      <c r="A228" s="9">
        <v>225</v>
      </c>
      <c r="B228" s="6"/>
      <c r="C228" s="4"/>
      <c r="D228" s="7"/>
      <c r="E228" s="7"/>
      <c r="F228" s="23"/>
    </row>
    <row r="229">
      <c r="A229" s="9">
        <v>226</v>
      </c>
      <c r="B229" s="6"/>
      <c r="C229" s="4"/>
      <c r="D229" s="7"/>
      <c r="E229" s="7"/>
      <c r="F229" s="23"/>
    </row>
    <row r="230">
      <c r="A230" s="9">
        <v>227</v>
      </c>
      <c r="B230" s="6"/>
      <c r="C230" s="4"/>
      <c r="D230" s="7"/>
      <c r="E230" s="7"/>
      <c r="F230" s="23"/>
    </row>
    <row r="231">
      <c r="A231" s="9">
        <v>228</v>
      </c>
      <c r="B231" s="6"/>
      <c r="C231" s="4"/>
      <c r="D231" s="7"/>
      <c r="E231" s="7"/>
      <c r="F231" s="23"/>
    </row>
    <row r="232">
      <c r="A232" s="9">
        <v>229</v>
      </c>
      <c r="B232" s="6"/>
      <c r="C232" s="4"/>
      <c r="D232" s="7"/>
      <c r="E232" s="7"/>
      <c r="F232" s="23"/>
    </row>
    <row r="233">
      <c r="A233" s="9">
        <v>230</v>
      </c>
      <c r="B233" s="6"/>
      <c r="C233" s="4"/>
      <c r="D233" s="7"/>
      <c r="E233" s="7"/>
      <c r="F233" s="23"/>
    </row>
    <row r="234">
      <c r="A234" s="9">
        <v>231</v>
      </c>
      <c r="B234" s="6"/>
      <c r="C234" s="4"/>
      <c r="D234" s="7"/>
      <c r="E234" s="7"/>
      <c r="F234" s="23"/>
    </row>
    <row r="235">
      <c r="A235" s="9">
        <v>232</v>
      </c>
      <c r="B235" s="6"/>
      <c r="C235" s="4"/>
      <c r="D235" s="7"/>
      <c r="E235" s="7"/>
      <c r="F235" s="23"/>
    </row>
    <row r="236">
      <c r="A236" s="9">
        <v>233</v>
      </c>
      <c r="B236" s="6"/>
      <c r="C236" s="4"/>
      <c r="D236" s="7"/>
      <c r="E236" s="7"/>
      <c r="F236" s="23"/>
    </row>
    <row r="237">
      <c r="A237" s="9">
        <v>234</v>
      </c>
      <c r="B237" s="6"/>
      <c r="C237" s="4"/>
      <c r="D237" s="7"/>
      <c r="E237" s="7"/>
      <c r="F237" s="23"/>
    </row>
    <row r="238">
      <c r="A238" s="9">
        <v>235</v>
      </c>
      <c r="B238" s="6"/>
      <c r="C238" s="4"/>
      <c r="D238" s="7"/>
      <c r="E238" s="7"/>
      <c r="F238" s="23"/>
    </row>
    <row r="239">
      <c r="A239" s="9">
        <v>236</v>
      </c>
      <c r="B239" s="6"/>
      <c r="C239" s="4"/>
      <c r="D239" s="7"/>
      <c r="E239" s="7"/>
      <c r="F239" s="23"/>
    </row>
    <row r="240">
      <c r="A240" s="9">
        <v>237</v>
      </c>
      <c r="B240" s="6"/>
      <c r="C240" s="4"/>
      <c r="D240" s="7"/>
      <c r="E240" s="7"/>
      <c r="F240" s="23"/>
    </row>
    <row r="241">
      <c r="A241" s="9">
        <v>238</v>
      </c>
      <c r="B241" s="6"/>
      <c r="C241" s="4"/>
      <c r="D241" s="7"/>
      <c r="E241" s="7"/>
      <c r="F241" s="23"/>
    </row>
    <row r="242">
      <c r="A242" s="9">
        <v>239</v>
      </c>
      <c r="B242" s="6"/>
      <c r="C242" s="4"/>
      <c r="D242" s="7"/>
      <c r="E242" s="7"/>
      <c r="F242" s="23"/>
    </row>
    <row r="243">
      <c r="A243" s="9">
        <v>240</v>
      </c>
      <c r="B243" s="6"/>
      <c r="C243" s="4"/>
      <c r="D243" s="7"/>
      <c r="E243" s="7"/>
      <c r="F243" s="23"/>
    </row>
    <row r="244">
      <c r="A244" s="9">
        <v>241</v>
      </c>
      <c r="B244" s="6"/>
      <c r="C244" s="4"/>
      <c r="D244" s="7"/>
      <c r="E244" s="7"/>
      <c r="F244" s="23"/>
    </row>
    <row r="245">
      <c r="A245" s="9">
        <v>242</v>
      </c>
      <c r="B245" s="6"/>
      <c r="C245" s="4"/>
      <c r="D245" s="7"/>
      <c r="E245" s="7"/>
      <c r="F245" s="23"/>
    </row>
    <row r="246">
      <c r="A246" s="9">
        <v>243</v>
      </c>
      <c r="B246" s="6"/>
      <c r="C246" s="4"/>
      <c r="D246" s="7"/>
      <c r="E246" s="7"/>
      <c r="F246" s="23"/>
    </row>
    <row r="247">
      <c r="A247" s="9">
        <v>244</v>
      </c>
      <c r="B247" s="6"/>
      <c r="C247" s="4"/>
      <c r="D247" s="7"/>
      <c r="E247" s="7"/>
      <c r="F247" s="23"/>
    </row>
    <row r="248">
      <c r="A248" s="9">
        <v>245</v>
      </c>
      <c r="B248" s="6"/>
      <c r="C248" s="4"/>
      <c r="D248" s="7"/>
      <c r="E248" s="7"/>
      <c r="F248" s="23"/>
    </row>
    <row r="249">
      <c r="A249" s="9">
        <v>246</v>
      </c>
      <c r="B249" s="6"/>
      <c r="C249" s="4"/>
      <c r="D249" s="7"/>
      <c r="E249" s="7"/>
      <c r="F249" s="23"/>
    </row>
    <row r="250">
      <c r="A250" s="9">
        <v>247</v>
      </c>
      <c r="B250" s="6"/>
      <c r="C250" s="4"/>
      <c r="D250" s="7"/>
      <c r="E250" s="7"/>
      <c r="F250" s="23"/>
    </row>
    <row r="251">
      <c r="A251" s="9">
        <v>248</v>
      </c>
      <c r="B251" s="6"/>
      <c r="C251" s="4"/>
      <c r="D251" s="7"/>
      <c r="E251" s="7"/>
      <c r="F251" s="23"/>
    </row>
    <row r="252">
      <c r="A252" s="9">
        <v>249</v>
      </c>
      <c r="B252" s="6"/>
      <c r="C252" s="4"/>
      <c r="D252" s="7"/>
      <c r="E252" s="7"/>
      <c r="F252" s="23"/>
    </row>
    <row r="253">
      <c r="A253" s="9">
        <v>250</v>
      </c>
      <c r="B253" s="6"/>
      <c r="C253" s="4"/>
      <c r="D253" s="7"/>
      <c r="E253" s="7"/>
      <c r="F253" s="23"/>
    </row>
    <row r="254">
      <c r="A254" s="9">
        <v>251</v>
      </c>
      <c r="B254" s="6"/>
      <c r="C254" s="4"/>
      <c r="D254" s="7"/>
      <c r="E254" s="7"/>
      <c r="F254" s="23"/>
    </row>
    <row r="255">
      <c r="A255" s="9">
        <v>252</v>
      </c>
      <c r="B255" s="6"/>
      <c r="C255" s="4"/>
      <c r="D255" s="7"/>
      <c r="E255" s="7"/>
      <c r="F255" s="23"/>
    </row>
    <row r="256">
      <c r="A256" s="9">
        <v>253</v>
      </c>
      <c r="B256" s="6"/>
      <c r="C256" s="4"/>
      <c r="D256" s="7"/>
      <c r="E256" s="7"/>
      <c r="F256" s="23"/>
    </row>
    <row r="257">
      <c r="A257" s="9">
        <v>254</v>
      </c>
      <c r="B257" s="6"/>
      <c r="C257" s="4"/>
      <c r="D257" s="7"/>
      <c r="E257" s="7"/>
      <c r="F257" s="23"/>
    </row>
    <row r="258">
      <c r="A258" s="9">
        <v>255</v>
      </c>
      <c r="B258" s="6"/>
      <c r="C258" s="4"/>
      <c r="D258" s="7"/>
      <c r="E258" s="7"/>
      <c r="F258" s="23"/>
    </row>
    <row r="259">
      <c r="A259" s="9">
        <v>256</v>
      </c>
      <c r="B259" s="6"/>
      <c r="C259" s="4"/>
      <c r="D259" s="7"/>
      <c r="E259" s="7"/>
      <c r="F259" s="23"/>
    </row>
    <row r="260">
      <c r="A260" s="9">
        <v>257</v>
      </c>
      <c r="B260" s="6"/>
      <c r="C260" s="4"/>
      <c r="D260" s="7"/>
      <c r="E260" s="7"/>
      <c r="F260" s="23"/>
    </row>
    <row r="261">
      <c r="A261" s="9">
        <v>258</v>
      </c>
      <c r="B261" s="6"/>
      <c r="C261" s="4"/>
      <c r="D261" s="7"/>
      <c r="E261" s="7"/>
      <c r="F261" s="23"/>
    </row>
    <row r="262">
      <c r="A262" s="9">
        <v>259</v>
      </c>
      <c r="B262" s="6"/>
      <c r="C262" s="4"/>
      <c r="D262" s="7"/>
      <c r="E262" s="7"/>
      <c r="F262" s="23"/>
    </row>
    <row r="263">
      <c r="A263" s="9">
        <v>260</v>
      </c>
      <c r="B263" s="6"/>
      <c r="C263" s="4"/>
      <c r="D263" s="7"/>
      <c r="E263" s="7"/>
      <c r="F263" s="23"/>
    </row>
    <row r="264">
      <c r="A264" s="9">
        <v>261</v>
      </c>
      <c r="B264" s="6"/>
      <c r="C264" s="4"/>
      <c r="D264" s="7"/>
      <c r="E264" s="7"/>
      <c r="F264" s="23"/>
    </row>
    <row r="265">
      <c r="A265" s="9">
        <v>262</v>
      </c>
      <c r="B265" s="6"/>
      <c r="C265" s="4"/>
      <c r="D265" s="7"/>
      <c r="E265" s="7"/>
      <c r="F265" s="23"/>
    </row>
    <row r="266">
      <c r="A266" s="9">
        <v>263</v>
      </c>
      <c r="B266" s="6"/>
      <c r="C266" s="4"/>
      <c r="D266" s="7"/>
      <c r="E266" s="7"/>
      <c r="F266" s="23"/>
    </row>
    <row r="267">
      <c r="A267" s="9">
        <v>264</v>
      </c>
      <c r="B267" s="6"/>
      <c r="C267" s="4"/>
      <c r="D267" s="7"/>
      <c r="E267" s="7"/>
      <c r="F267" s="23"/>
    </row>
    <row r="268">
      <c r="A268" s="9">
        <v>265</v>
      </c>
      <c r="B268" s="6"/>
      <c r="C268" s="4"/>
      <c r="D268" s="7"/>
      <c r="E268" s="7"/>
      <c r="F268" s="23"/>
    </row>
    <row r="269">
      <c r="A269" s="9">
        <v>266</v>
      </c>
      <c r="B269" s="6"/>
      <c r="C269" s="4"/>
      <c r="D269" s="7"/>
      <c r="E269" s="7"/>
      <c r="F269" s="23"/>
    </row>
    <row r="270">
      <c r="A270" s="9">
        <v>267</v>
      </c>
      <c r="B270" s="6"/>
      <c r="C270" s="4"/>
      <c r="D270" s="7"/>
      <c r="E270" s="7"/>
      <c r="F270" s="23"/>
    </row>
    <row r="271">
      <c r="A271" s="9">
        <v>268</v>
      </c>
      <c r="B271" s="6"/>
      <c r="C271" s="4"/>
      <c r="D271" s="7"/>
      <c r="E271" s="7"/>
      <c r="F271" s="23"/>
    </row>
    <row r="272">
      <c r="A272" s="9">
        <v>269</v>
      </c>
      <c r="B272" s="6"/>
      <c r="C272" s="4"/>
      <c r="D272" s="7"/>
      <c r="E272" s="7"/>
      <c r="F272" s="23"/>
    </row>
    <row r="273">
      <c r="A273" s="9">
        <v>270</v>
      </c>
      <c r="B273" s="6"/>
      <c r="C273" s="4"/>
      <c r="D273" s="7"/>
      <c r="E273" s="7"/>
      <c r="F273" s="23"/>
    </row>
    <row r="274">
      <c r="A274" s="9">
        <v>271</v>
      </c>
      <c r="B274" s="6"/>
      <c r="C274" s="4"/>
      <c r="D274" s="7"/>
      <c r="E274" s="7"/>
      <c r="F274" s="23"/>
    </row>
    <row r="275">
      <c r="A275" s="9">
        <v>272</v>
      </c>
      <c r="B275" s="6"/>
      <c r="C275" s="4"/>
      <c r="D275" s="7"/>
      <c r="E275" s="7"/>
      <c r="F275" s="23"/>
    </row>
    <row r="276">
      <c r="A276" s="9">
        <v>273</v>
      </c>
      <c r="B276" s="6"/>
      <c r="C276" s="4"/>
      <c r="D276" s="7"/>
      <c r="E276" s="7"/>
      <c r="F276" s="23"/>
    </row>
    <row r="277">
      <c r="A277" s="9">
        <v>274</v>
      </c>
      <c r="B277" s="6"/>
      <c r="C277" s="4"/>
      <c r="D277" s="7"/>
      <c r="E277" s="7"/>
      <c r="F277" s="23"/>
    </row>
    <row r="278">
      <c r="A278" s="9">
        <v>275</v>
      </c>
      <c r="B278" s="6"/>
      <c r="C278" s="4"/>
      <c r="D278" s="7"/>
      <c r="E278" s="7"/>
      <c r="F278" s="23"/>
    </row>
    <row r="279">
      <c r="A279" s="9">
        <v>276</v>
      </c>
      <c r="B279" s="6"/>
      <c r="C279" s="4"/>
      <c r="D279" s="7"/>
      <c r="E279" s="7"/>
      <c r="F279" s="23"/>
    </row>
    <row r="280">
      <c r="A280" s="9">
        <v>277</v>
      </c>
      <c r="B280" s="6"/>
      <c r="C280" s="4"/>
      <c r="D280" s="7"/>
      <c r="E280" s="7"/>
      <c r="F280" s="23"/>
    </row>
    <row r="281">
      <c r="A281" s="9">
        <v>278</v>
      </c>
      <c r="B281" s="6"/>
      <c r="C281" s="4"/>
      <c r="D281" s="7"/>
      <c r="E281" s="7"/>
      <c r="F281" s="23"/>
    </row>
    <row r="282">
      <c r="A282" s="9">
        <v>279</v>
      </c>
      <c r="B282" s="6"/>
      <c r="C282" s="4"/>
      <c r="D282" s="7"/>
      <c r="E282" s="7"/>
      <c r="F282" s="23"/>
    </row>
    <row r="283">
      <c r="A283" s="9">
        <v>280</v>
      </c>
      <c r="B283" s="6"/>
      <c r="C283" s="4"/>
      <c r="D283" s="7"/>
      <c r="E283" s="7"/>
      <c r="F283" s="23"/>
    </row>
    <row r="284">
      <c r="A284" s="9">
        <v>281</v>
      </c>
      <c r="B284" s="6"/>
      <c r="C284" s="4"/>
      <c r="D284" s="7"/>
      <c r="E284" s="7"/>
      <c r="F284" s="23"/>
    </row>
    <row r="285">
      <c r="A285" s="9">
        <v>282</v>
      </c>
      <c r="B285" s="6"/>
      <c r="C285" s="4"/>
      <c r="D285" s="7"/>
      <c r="E285" s="7"/>
      <c r="F285" s="23"/>
    </row>
    <row r="286">
      <c r="A286" s="9">
        <v>283</v>
      </c>
      <c r="B286" s="6"/>
      <c r="C286" s="4"/>
      <c r="D286" s="7"/>
      <c r="E286" s="7"/>
      <c r="F286" s="23"/>
    </row>
    <row r="287">
      <c r="A287" s="9">
        <v>284</v>
      </c>
      <c r="B287" s="6"/>
      <c r="C287" s="4"/>
      <c r="D287" s="7"/>
      <c r="E287" s="7"/>
      <c r="F287" s="23"/>
    </row>
    <row r="288">
      <c r="A288" s="9">
        <v>285</v>
      </c>
      <c r="B288" s="6"/>
      <c r="C288" s="4"/>
      <c r="D288" s="7"/>
      <c r="E288" s="7"/>
      <c r="F288" s="23"/>
    </row>
    <row r="289">
      <c r="A289" s="9">
        <v>286</v>
      </c>
      <c r="B289" s="6"/>
      <c r="C289" s="4"/>
      <c r="D289" s="7"/>
      <c r="E289" s="7"/>
      <c r="F289" s="23"/>
    </row>
    <row r="290">
      <c r="A290" s="9">
        <v>287</v>
      </c>
      <c r="B290" s="6"/>
      <c r="C290" s="4"/>
      <c r="D290" s="7"/>
      <c r="E290" s="7"/>
      <c r="F290" s="23"/>
    </row>
    <row r="291">
      <c r="A291" s="9">
        <v>288</v>
      </c>
      <c r="B291" s="6"/>
      <c r="C291" s="4"/>
      <c r="D291" s="7"/>
      <c r="E291" s="7"/>
      <c r="F291" s="23"/>
    </row>
    <row r="292">
      <c r="A292" s="9">
        <v>289</v>
      </c>
      <c r="B292" s="6"/>
      <c r="C292" s="4"/>
      <c r="D292" s="7"/>
      <c r="E292" s="7"/>
      <c r="F292" s="23"/>
    </row>
    <row r="293">
      <c r="A293" s="9">
        <v>290</v>
      </c>
      <c r="B293" s="6"/>
      <c r="C293" s="4"/>
      <c r="D293" s="7"/>
      <c r="E293" s="7"/>
      <c r="F293" s="23"/>
    </row>
    <row r="294">
      <c r="A294" s="9">
        <v>291</v>
      </c>
      <c r="B294" s="6"/>
      <c r="C294" s="4"/>
      <c r="D294" s="7"/>
      <c r="E294" s="7"/>
      <c r="F294" s="23"/>
    </row>
    <row r="295">
      <c r="A295" s="9">
        <v>292</v>
      </c>
      <c r="B295" s="6"/>
      <c r="C295" s="4"/>
      <c r="D295" s="7"/>
      <c r="E295" s="7"/>
      <c r="F295" s="23"/>
    </row>
    <row r="296">
      <c r="A296" s="9">
        <v>293</v>
      </c>
      <c r="B296" s="6"/>
      <c r="C296" s="4"/>
      <c r="D296" s="7"/>
      <c r="E296" s="7"/>
      <c r="F296" s="23"/>
    </row>
    <row r="297">
      <c r="A297" s="9">
        <v>294</v>
      </c>
      <c r="B297" s="6"/>
      <c r="C297" s="4"/>
      <c r="D297" s="7"/>
      <c r="E297" s="7"/>
      <c r="F297" s="23"/>
    </row>
    <row r="298">
      <c r="A298" s="9">
        <v>295</v>
      </c>
      <c r="B298" s="6"/>
      <c r="C298" s="4"/>
      <c r="D298" s="7"/>
      <c r="E298" s="7"/>
      <c r="F298" s="23"/>
    </row>
    <row r="299">
      <c r="A299" s="9">
        <v>296</v>
      </c>
      <c r="B299" s="6"/>
      <c r="C299" s="4"/>
      <c r="D299" s="7"/>
      <c r="E299" s="7"/>
      <c r="F299" s="23"/>
    </row>
    <row r="300">
      <c r="A300" s="9">
        <v>297</v>
      </c>
      <c r="B300" s="6"/>
      <c r="C300" s="4"/>
      <c r="D300" s="7"/>
      <c r="E300" s="7"/>
      <c r="F300" s="23"/>
    </row>
    <row r="301">
      <c r="A301" s="9">
        <v>298</v>
      </c>
      <c r="B301" s="6"/>
      <c r="C301" s="4"/>
      <c r="D301" s="7"/>
      <c r="E301" s="7"/>
      <c r="F301" s="23"/>
    </row>
    <row r="302">
      <c r="A302" s="9">
        <v>299</v>
      </c>
      <c r="B302" s="6"/>
      <c r="C302" s="4"/>
      <c r="D302" s="7"/>
      <c r="E302" s="7"/>
      <c r="F302" s="23"/>
    </row>
    <row r="303">
      <c r="A303" s="9">
        <v>300</v>
      </c>
      <c r="B303" s="6"/>
      <c r="C303" s="4"/>
      <c r="D303" s="7"/>
      <c r="E303" s="7"/>
      <c r="F303" s="23"/>
    </row>
    <row r="304">
      <c r="A304" s="9">
        <v>301</v>
      </c>
      <c r="B304" s="6"/>
      <c r="C304" s="4"/>
      <c r="D304" s="7"/>
      <c r="E304" s="7"/>
      <c r="F304" s="23"/>
    </row>
    <row r="305">
      <c r="A305" s="9">
        <v>302</v>
      </c>
      <c r="B305" s="6"/>
      <c r="C305" s="4"/>
      <c r="D305" s="7"/>
      <c r="E305" s="7"/>
      <c r="F305" s="23"/>
    </row>
    <row r="306">
      <c r="A306" s="9">
        <v>303</v>
      </c>
      <c r="B306" s="6"/>
      <c r="C306" s="4"/>
      <c r="D306" s="7"/>
      <c r="E306" s="7"/>
      <c r="F306" s="23"/>
    </row>
    <row r="307">
      <c r="A307" s="9">
        <v>304</v>
      </c>
      <c r="B307" s="6"/>
      <c r="C307" s="4"/>
      <c r="D307" s="7"/>
      <c r="E307" s="7"/>
      <c r="F307" s="23"/>
    </row>
    <row r="308">
      <c r="A308" s="9">
        <v>305</v>
      </c>
      <c r="B308" s="6"/>
      <c r="C308" s="4"/>
      <c r="D308" s="7"/>
      <c r="E308" s="7"/>
      <c r="F308" s="23"/>
    </row>
    <row r="309">
      <c r="A309" s="9">
        <v>306</v>
      </c>
      <c r="B309" s="6"/>
      <c r="C309" s="4"/>
      <c r="D309" s="7"/>
      <c r="E309" s="7"/>
      <c r="F309" s="23"/>
    </row>
    <row r="310">
      <c r="A310" s="9">
        <v>307</v>
      </c>
      <c r="B310" s="6"/>
      <c r="C310" s="4"/>
      <c r="D310" s="7"/>
      <c r="E310" s="7"/>
      <c r="F310" s="23"/>
    </row>
    <row r="311">
      <c r="A311" s="9">
        <v>308</v>
      </c>
      <c r="B311" s="6"/>
      <c r="C311" s="4"/>
      <c r="D311" s="7"/>
      <c r="E311" s="7"/>
      <c r="F311" s="23"/>
    </row>
    <row r="312">
      <c r="A312" s="9">
        <v>309</v>
      </c>
      <c r="B312" s="6"/>
      <c r="C312" s="4"/>
      <c r="D312" s="7"/>
      <c r="E312" s="7"/>
      <c r="F312" s="23"/>
    </row>
    <row r="313">
      <c r="A313" s="9">
        <v>310</v>
      </c>
      <c r="B313" s="6"/>
      <c r="C313" s="4"/>
      <c r="D313" s="7"/>
      <c r="E313" s="7"/>
      <c r="F313" s="23"/>
    </row>
    <row r="314">
      <c r="A314" s="9">
        <v>311</v>
      </c>
      <c r="B314" s="6"/>
      <c r="C314" s="4"/>
      <c r="D314" s="7"/>
      <c r="E314" s="7"/>
      <c r="F314" s="23"/>
    </row>
    <row r="315">
      <c r="A315" s="9">
        <v>312</v>
      </c>
      <c r="B315" s="6"/>
      <c r="C315" s="4"/>
      <c r="D315" s="7"/>
      <c r="E315" s="7"/>
      <c r="F315" s="23"/>
    </row>
    <row r="316">
      <c r="A316" s="9">
        <v>313</v>
      </c>
      <c r="B316" s="6"/>
      <c r="C316" s="4"/>
      <c r="D316" s="7"/>
      <c r="E316" s="7"/>
      <c r="F316" s="23"/>
    </row>
    <row r="317">
      <c r="A317" s="9">
        <v>314</v>
      </c>
      <c r="B317" s="6"/>
      <c r="C317" s="4"/>
      <c r="D317" s="7"/>
      <c r="E317" s="7"/>
      <c r="F317" s="23"/>
    </row>
    <row r="318">
      <c r="A318" s="9">
        <v>315</v>
      </c>
      <c r="B318" s="6"/>
      <c r="C318" s="4"/>
      <c r="D318" s="7"/>
      <c r="E318" s="7"/>
      <c r="F318" s="23"/>
    </row>
    <row r="319">
      <c r="A319" s="9">
        <v>316</v>
      </c>
      <c r="B319" s="6"/>
      <c r="C319" s="4"/>
      <c r="D319" s="7"/>
      <c r="E319" s="7"/>
      <c r="F319" s="23"/>
    </row>
    <row r="320">
      <c r="A320" s="9">
        <v>317</v>
      </c>
      <c r="B320" s="6"/>
      <c r="C320" s="4"/>
      <c r="D320" s="7"/>
      <c r="E320" s="7"/>
      <c r="F320" s="23"/>
    </row>
    <row r="321">
      <c r="A321" s="9">
        <v>318</v>
      </c>
      <c r="B321" s="6"/>
      <c r="C321" s="4"/>
      <c r="D321" s="7"/>
      <c r="E321" s="7"/>
      <c r="F321" s="23"/>
    </row>
    <row r="322">
      <c r="A322" s="9">
        <v>319</v>
      </c>
      <c r="B322" s="6"/>
      <c r="C322" s="4"/>
      <c r="D322" s="7"/>
      <c r="E322" s="7"/>
      <c r="F322" s="23"/>
    </row>
    <row r="323">
      <c r="A323" s="9">
        <v>320</v>
      </c>
      <c r="B323" s="6"/>
      <c r="C323" s="4"/>
      <c r="D323" s="7"/>
      <c r="E323" s="7"/>
      <c r="F323" s="23"/>
    </row>
    <row r="324">
      <c r="A324" s="9">
        <v>321</v>
      </c>
      <c r="B324" s="6"/>
      <c r="C324" s="4"/>
      <c r="D324" s="7"/>
      <c r="E324" s="7"/>
      <c r="F324" s="23"/>
    </row>
    <row r="325">
      <c r="A325" s="9">
        <v>322</v>
      </c>
      <c r="B325" s="6"/>
      <c r="C325" s="4"/>
      <c r="D325" s="7"/>
      <c r="E325" s="7"/>
      <c r="F325" s="23"/>
    </row>
    <row r="326">
      <c r="A326" s="9">
        <v>323</v>
      </c>
      <c r="B326" s="6"/>
      <c r="C326" s="4"/>
      <c r="D326" s="7"/>
      <c r="E326" s="7"/>
      <c r="F326" s="23"/>
    </row>
    <row r="327">
      <c r="A327" s="9">
        <v>324</v>
      </c>
      <c r="B327" s="6"/>
      <c r="C327" s="4"/>
      <c r="D327" s="7"/>
      <c r="E327" s="7"/>
      <c r="F327" s="23"/>
    </row>
    <row r="328">
      <c r="A328" s="9">
        <v>325</v>
      </c>
      <c r="B328" s="6"/>
      <c r="C328" s="4"/>
      <c r="D328" s="7"/>
      <c r="E328" s="7"/>
      <c r="F328" s="23"/>
    </row>
    <row r="329">
      <c r="A329" s="9">
        <v>326</v>
      </c>
      <c r="B329" s="6"/>
      <c r="C329" s="4"/>
      <c r="D329" s="7"/>
      <c r="E329" s="7"/>
      <c r="F329" s="23"/>
    </row>
    <row r="330">
      <c r="A330" s="9">
        <v>327</v>
      </c>
      <c r="B330" s="6"/>
      <c r="C330" s="4"/>
      <c r="D330" s="7"/>
      <c r="E330" s="7"/>
      <c r="F330" s="23"/>
    </row>
    <row r="331">
      <c r="A331" s="9">
        <v>328</v>
      </c>
      <c r="B331" s="6"/>
      <c r="C331" s="4"/>
      <c r="D331" s="7"/>
      <c r="E331" s="7"/>
      <c r="F331" s="23"/>
    </row>
    <row r="332">
      <c r="A332" s="9">
        <v>329</v>
      </c>
      <c r="B332" s="6"/>
      <c r="C332" s="4"/>
      <c r="D332" s="7"/>
      <c r="E332" s="7"/>
      <c r="F332" s="23"/>
    </row>
    <row r="333">
      <c r="A333" s="9">
        <v>330</v>
      </c>
      <c r="B333" s="6"/>
      <c r="C333" s="4"/>
      <c r="D333" s="7"/>
      <c r="E333" s="7"/>
      <c r="F333" s="23"/>
    </row>
    <row r="334">
      <c r="A334" s="9">
        <v>331</v>
      </c>
      <c r="B334" s="6"/>
      <c r="C334" s="4"/>
      <c r="D334" s="7"/>
      <c r="E334" s="7"/>
      <c r="F334" s="23"/>
    </row>
    <row r="335">
      <c r="A335" s="9">
        <v>332</v>
      </c>
      <c r="B335" s="6"/>
      <c r="C335" s="4"/>
      <c r="D335" s="7"/>
      <c r="E335" s="7"/>
      <c r="F335" s="23"/>
    </row>
    <row r="336">
      <c r="A336" s="9">
        <v>333</v>
      </c>
      <c r="B336" s="6"/>
      <c r="C336" s="4"/>
      <c r="D336" s="7"/>
      <c r="E336" s="7"/>
      <c r="F336" s="23"/>
    </row>
    <row r="337">
      <c r="A337" s="9">
        <v>334</v>
      </c>
      <c r="B337" s="6"/>
      <c r="C337" s="4"/>
      <c r="D337" s="7"/>
      <c r="E337" s="7"/>
      <c r="F337" s="23"/>
    </row>
    <row r="338">
      <c r="A338" s="9">
        <v>335</v>
      </c>
      <c r="B338" s="6"/>
      <c r="C338" s="4"/>
      <c r="D338" s="7"/>
      <c r="E338" s="7"/>
      <c r="F338" s="23"/>
    </row>
    <row r="339">
      <c r="A339" s="9">
        <v>336</v>
      </c>
      <c r="B339" s="6"/>
      <c r="C339" s="4"/>
      <c r="D339" s="7"/>
      <c r="E339" s="7"/>
      <c r="F339" s="23"/>
    </row>
    <row r="340">
      <c r="A340" s="9">
        <v>337</v>
      </c>
      <c r="B340" s="6"/>
      <c r="C340" s="4"/>
      <c r="D340" s="7"/>
      <c r="E340" s="7"/>
      <c r="F340" s="23"/>
    </row>
    <row r="341">
      <c r="A341" s="9">
        <v>338</v>
      </c>
      <c r="B341" s="6"/>
      <c r="C341" s="4"/>
      <c r="D341" s="7"/>
      <c r="E341" s="7"/>
      <c r="F341" s="23"/>
    </row>
    <row r="342">
      <c r="A342" s="9">
        <v>339</v>
      </c>
      <c r="B342" s="6"/>
      <c r="C342" s="4"/>
      <c r="D342" s="7"/>
      <c r="E342" s="7"/>
      <c r="F342" s="23"/>
    </row>
    <row r="343">
      <c r="A343" s="9">
        <v>340</v>
      </c>
      <c r="B343" s="6"/>
      <c r="C343" s="4"/>
      <c r="D343" s="7"/>
      <c r="E343" s="7"/>
      <c r="F343" s="23"/>
    </row>
    <row r="344">
      <c r="A344" s="9">
        <v>341</v>
      </c>
      <c r="B344" s="6"/>
      <c r="C344" s="4"/>
      <c r="D344" s="7"/>
      <c r="E344" s="7"/>
      <c r="F344" s="23"/>
    </row>
    <row r="345">
      <c r="A345" s="9">
        <v>342</v>
      </c>
      <c r="B345" s="6"/>
      <c r="C345" s="4"/>
      <c r="D345" s="7"/>
      <c r="E345" s="7"/>
      <c r="F345" s="23"/>
    </row>
    <row r="346">
      <c r="A346" s="9">
        <v>343</v>
      </c>
      <c r="B346" s="6"/>
      <c r="C346" s="4"/>
      <c r="D346" s="7"/>
      <c r="E346" s="7"/>
      <c r="F346" s="23"/>
    </row>
    <row r="347">
      <c r="A347" s="9">
        <v>344</v>
      </c>
      <c r="B347" s="6"/>
      <c r="C347" s="4"/>
      <c r="D347" s="7"/>
      <c r="E347" s="7"/>
      <c r="F347" s="23"/>
    </row>
    <row r="348">
      <c r="A348" s="9">
        <v>345</v>
      </c>
      <c r="B348" s="6"/>
      <c r="C348" s="4"/>
      <c r="D348" s="7"/>
      <c r="E348" s="7"/>
      <c r="F348" s="23"/>
    </row>
    <row r="349">
      <c r="A349" s="9">
        <v>346</v>
      </c>
      <c r="B349" s="6"/>
      <c r="C349" s="4"/>
      <c r="D349" s="7"/>
      <c r="E349" s="7"/>
      <c r="F349" s="23"/>
    </row>
    <row r="350">
      <c r="A350" s="9">
        <v>347</v>
      </c>
      <c r="B350" s="6"/>
      <c r="C350" s="4"/>
      <c r="D350" s="7"/>
      <c r="E350" s="7"/>
      <c r="F350" s="23"/>
    </row>
    <row r="351">
      <c r="A351" s="9">
        <v>348</v>
      </c>
      <c r="B351" s="6"/>
      <c r="C351" s="4"/>
      <c r="D351" s="7"/>
      <c r="E351" s="7"/>
      <c r="F351" s="23"/>
    </row>
    <row r="352">
      <c r="A352" s="9">
        <v>349</v>
      </c>
      <c r="B352" s="6"/>
      <c r="C352" s="4"/>
      <c r="D352" s="7"/>
      <c r="E352" s="7"/>
      <c r="F352" s="23"/>
    </row>
    <row r="353">
      <c r="A353" s="9">
        <v>350</v>
      </c>
      <c r="B353" s="6"/>
      <c r="C353" s="4"/>
      <c r="D353" s="7"/>
      <c r="E353" s="7"/>
      <c r="F353" s="23"/>
    </row>
    <row r="354">
      <c r="A354" s="9">
        <v>351</v>
      </c>
      <c r="B354" s="6"/>
      <c r="C354" s="4"/>
      <c r="D354" s="7"/>
      <c r="E354" s="7"/>
      <c r="F354" s="23"/>
    </row>
    <row r="355">
      <c r="A355" s="9">
        <v>352</v>
      </c>
      <c r="B355" s="6"/>
      <c r="C355" s="4"/>
      <c r="D355" s="7"/>
      <c r="E355" s="7"/>
      <c r="F355" s="23"/>
    </row>
    <row r="356">
      <c r="A356" s="9">
        <v>353</v>
      </c>
      <c r="B356" s="6"/>
      <c r="C356" s="4"/>
      <c r="D356" s="7"/>
      <c r="E356" s="7"/>
      <c r="F356" s="23"/>
    </row>
    <row r="357">
      <c r="A357" s="9">
        <v>354</v>
      </c>
      <c r="B357" s="6"/>
      <c r="C357" s="4"/>
      <c r="D357" s="7"/>
      <c r="E357" s="7"/>
      <c r="F357" s="23"/>
    </row>
    <row r="358">
      <c r="A358" s="9">
        <v>355</v>
      </c>
      <c r="B358" s="6"/>
      <c r="C358" s="4"/>
      <c r="D358" s="7"/>
      <c r="E358" s="7"/>
      <c r="F358" s="23"/>
    </row>
    <row r="359">
      <c r="A359" s="9">
        <v>356</v>
      </c>
      <c r="B359" s="6"/>
      <c r="C359" s="4"/>
      <c r="D359" s="7"/>
      <c r="E359" s="7"/>
      <c r="F359" s="23"/>
    </row>
    <row r="360">
      <c r="A360" s="9">
        <v>357</v>
      </c>
      <c r="B360" s="6"/>
      <c r="C360" s="4"/>
      <c r="D360" s="7"/>
      <c r="E360" s="7"/>
      <c r="F360" s="23"/>
    </row>
    <row r="361">
      <c r="A361" s="9">
        <v>358</v>
      </c>
      <c r="B361" s="6"/>
      <c r="C361" s="4"/>
      <c r="D361" s="7"/>
      <c r="E361" s="7"/>
      <c r="F361" s="23"/>
    </row>
    <row r="362">
      <c r="A362" s="9">
        <v>359</v>
      </c>
      <c r="B362" s="6"/>
      <c r="C362" s="4"/>
      <c r="D362" s="7"/>
      <c r="E362" s="7"/>
      <c r="F362" s="23"/>
    </row>
    <row r="363">
      <c r="A363" s="9">
        <v>360</v>
      </c>
      <c r="B363" s="6"/>
      <c r="C363" s="4"/>
      <c r="D363" s="7"/>
      <c r="E363" s="7"/>
      <c r="F363" s="23"/>
    </row>
    <row r="364">
      <c r="A364" s="9">
        <v>361</v>
      </c>
      <c r="B364" s="6"/>
      <c r="C364" s="4"/>
      <c r="D364" s="7"/>
      <c r="E364" s="7"/>
      <c r="F364" s="23"/>
    </row>
    <row r="365">
      <c r="A365" s="9">
        <v>362</v>
      </c>
      <c r="B365" s="6"/>
      <c r="C365" s="4"/>
      <c r="D365" s="7"/>
      <c r="E365" s="7"/>
      <c r="F365" s="23"/>
    </row>
    <row r="366">
      <c r="A366" s="9">
        <v>363</v>
      </c>
      <c r="B366" s="6"/>
      <c r="C366" s="4"/>
      <c r="D366" s="7"/>
      <c r="E366" s="7"/>
      <c r="F366" s="23"/>
    </row>
    <row r="367">
      <c r="A367" s="9">
        <v>364</v>
      </c>
      <c r="B367" s="6"/>
      <c r="C367" s="4"/>
      <c r="D367" s="7"/>
      <c r="E367" s="7"/>
      <c r="F367" s="23"/>
    </row>
    <row r="368">
      <c r="A368" s="9">
        <v>365</v>
      </c>
      <c r="B368" s="6"/>
      <c r="C368" s="4"/>
      <c r="D368" s="7"/>
      <c r="E368" s="7"/>
      <c r="F368" s="23"/>
    </row>
    <row r="369">
      <c r="A369" s="9">
        <v>366</v>
      </c>
      <c r="B369" s="6"/>
      <c r="C369" s="4"/>
      <c r="D369" s="7"/>
      <c r="E369" s="7"/>
      <c r="F369" s="23"/>
    </row>
    <row r="370">
      <c r="A370" s="9">
        <v>367</v>
      </c>
      <c r="B370" s="6"/>
      <c r="C370" s="4"/>
      <c r="D370" s="7"/>
      <c r="E370" s="7"/>
      <c r="F370" s="23"/>
    </row>
    <row r="371">
      <c r="A371" s="9">
        <v>368</v>
      </c>
      <c r="B371" s="6"/>
      <c r="C371" s="4"/>
      <c r="D371" s="7"/>
      <c r="E371" s="7"/>
      <c r="F371" s="23"/>
    </row>
    <row r="372">
      <c r="A372" s="9">
        <v>369</v>
      </c>
      <c r="B372" s="6"/>
      <c r="C372" s="4"/>
      <c r="D372" s="7"/>
      <c r="E372" s="7"/>
      <c r="F372" s="23"/>
    </row>
    <row r="373">
      <c r="A373" s="9">
        <v>370</v>
      </c>
      <c r="B373" s="6"/>
      <c r="C373" s="4"/>
      <c r="D373" s="7"/>
      <c r="E373" s="7"/>
      <c r="F373" s="23"/>
    </row>
    <row r="374">
      <c r="A374" s="9">
        <v>371</v>
      </c>
      <c r="B374" s="6"/>
      <c r="C374" s="4"/>
      <c r="D374" s="7"/>
      <c r="E374" s="7"/>
      <c r="F374" s="23"/>
    </row>
    <row r="375">
      <c r="A375" s="9">
        <v>372</v>
      </c>
      <c r="B375" s="6"/>
      <c r="C375" s="4"/>
      <c r="D375" s="7"/>
      <c r="E375" s="7"/>
      <c r="F375" s="23"/>
    </row>
    <row r="376">
      <c r="A376" s="9">
        <v>373</v>
      </c>
      <c r="B376" s="6"/>
      <c r="C376" s="4"/>
      <c r="D376" s="7"/>
      <c r="E376" s="7"/>
      <c r="F376" s="23"/>
    </row>
    <row r="377">
      <c r="A377" s="9">
        <v>374</v>
      </c>
      <c r="B377" s="6"/>
      <c r="C377" s="4"/>
      <c r="D377" s="7"/>
      <c r="E377" s="7"/>
      <c r="F377" s="23"/>
    </row>
    <row r="378">
      <c r="A378" s="9">
        <v>375</v>
      </c>
      <c r="B378" s="6"/>
      <c r="C378" s="4"/>
      <c r="D378" s="7"/>
      <c r="E378" s="7"/>
      <c r="F378" s="23"/>
    </row>
    <row r="379">
      <c r="A379" s="9">
        <v>376</v>
      </c>
      <c r="B379" s="6"/>
      <c r="C379" s="4"/>
      <c r="D379" s="7"/>
      <c r="E379" s="7"/>
      <c r="F379" s="23"/>
    </row>
    <row r="380">
      <c r="A380" s="9">
        <v>377</v>
      </c>
      <c r="B380" s="6"/>
      <c r="C380" s="4"/>
      <c r="D380" s="7"/>
      <c r="E380" s="7"/>
      <c r="F380" s="23"/>
    </row>
    <row r="381">
      <c r="A381" s="9">
        <v>378</v>
      </c>
      <c r="B381" s="6"/>
      <c r="C381" s="4"/>
      <c r="D381" s="7"/>
      <c r="E381" s="7"/>
      <c r="F381" s="23"/>
    </row>
    <row r="382">
      <c r="A382" s="9">
        <v>379</v>
      </c>
      <c r="B382" s="6"/>
      <c r="C382" s="4"/>
      <c r="D382" s="7"/>
      <c r="E382" s="7"/>
      <c r="F382" s="23"/>
    </row>
    <row r="383">
      <c r="A383" s="9">
        <v>380</v>
      </c>
      <c r="B383" s="6"/>
      <c r="C383" s="4"/>
      <c r="D383" s="7"/>
      <c r="E383" s="7"/>
      <c r="F383" s="23"/>
    </row>
    <row r="384">
      <c r="A384" s="9">
        <v>381</v>
      </c>
      <c r="B384" s="6"/>
      <c r="C384" s="4"/>
      <c r="D384" s="7"/>
      <c r="E384" s="7"/>
      <c r="F384" s="23"/>
    </row>
    <row r="385">
      <c r="A385" s="9">
        <v>382</v>
      </c>
      <c r="B385" s="6"/>
      <c r="C385" s="4"/>
      <c r="D385" s="7"/>
      <c r="E385" s="7"/>
      <c r="F385" s="23"/>
    </row>
    <row r="386">
      <c r="A386" s="9">
        <v>383</v>
      </c>
      <c r="B386" s="6"/>
      <c r="C386" s="4"/>
      <c r="D386" s="7"/>
      <c r="E386" s="7"/>
      <c r="F386" s="23"/>
    </row>
    <row r="387">
      <c r="A387" s="9">
        <v>384</v>
      </c>
      <c r="B387" s="6"/>
      <c r="C387" s="4"/>
      <c r="D387" s="7"/>
      <c r="E387" s="7"/>
      <c r="F387" s="23"/>
    </row>
    <row r="388">
      <c r="A388" s="9">
        <v>385</v>
      </c>
      <c r="B388" s="6"/>
      <c r="C388" s="4"/>
      <c r="D388" s="7"/>
      <c r="E388" s="7"/>
      <c r="F388" s="23"/>
    </row>
    <row r="389">
      <c r="A389" s="9">
        <v>386</v>
      </c>
      <c r="B389" s="6"/>
      <c r="C389" s="4"/>
      <c r="D389" s="7"/>
      <c r="E389" s="7"/>
      <c r="F389" s="23"/>
    </row>
    <row r="390">
      <c r="A390" s="9">
        <v>387</v>
      </c>
      <c r="B390" s="6"/>
      <c r="C390" s="4"/>
      <c r="D390" s="7"/>
      <c r="E390" s="7"/>
      <c r="F390" s="23"/>
    </row>
    <row r="391">
      <c r="A391" s="9">
        <v>388</v>
      </c>
      <c r="B391" s="6"/>
      <c r="C391" s="4"/>
      <c r="D391" s="7"/>
      <c r="E391" s="7"/>
      <c r="F391" s="23"/>
    </row>
    <row r="392">
      <c r="A392" s="9">
        <v>389</v>
      </c>
      <c r="B392" s="6"/>
      <c r="C392" s="4"/>
      <c r="D392" s="7"/>
      <c r="E392" s="7"/>
      <c r="F392" s="23"/>
    </row>
    <row r="393">
      <c r="A393" s="9">
        <v>390</v>
      </c>
      <c r="B393" s="6"/>
      <c r="C393" s="4"/>
      <c r="D393" s="7"/>
      <c r="E393" s="7"/>
      <c r="F393" s="23"/>
    </row>
    <row r="394">
      <c r="A394" s="9">
        <v>391</v>
      </c>
      <c r="B394" s="6"/>
      <c r="C394" s="4"/>
      <c r="D394" s="7"/>
      <c r="E394" s="7"/>
      <c r="F394" s="23"/>
    </row>
    <row r="395">
      <c r="A395" s="9">
        <v>392</v>
      </c>
      <c r="B395" s="6"/>
      <c r="C395" s="4"/>
      <c r="D395" s="7"/>
      <c r="E395" s="7"/>
      <c r="F395" s="23"/>
    </row>
    <row r="396">
      <c r="A396" s="9">
        <v>393</v>
      </c>
      <c r="B396" s="6"/>
      <c r="C396" s="4"/>
      <c r="D396" s="7"/>
      <c r="E396" s="7"/>
      <c r="F396" s="23"/>
    </row>
    <row r="397">
      <c r="A397" s="9">
        <v>394</v>
      </c>
      <c r="B397" s="6"/>
      <c r="C397" s="4"/>
      <c r="D397" s="7"/>
      <c r="E397" s="7"/>
      <c r="F397" s="23"/>
    </row>
    <row r="398">
      <c r="A398" s="9">
        <v>395</v>
      </c>
      <c r="B398" s="6"/>
      <c r="C398" s="4"/>
      <c r="D398" s="7"/>
      <c r="E398" s="7"/>
      <c r="F398" s="23"/>
    </row>
    <row r="399">
      <c r="A399" s="9">
        <v>396</v>
      </c>
      <c r="B399" s="6"/>
      <c r="C399" s="4"/>
      <c r="D399" s="7"/>
      <c r="E399" s="7"/>
      <c r="F399" s="23"/>
    </row>
    <row r="400">
      <c r="A400" s="9">
        <v>397</v>
      </c>
      <c r="B400" s="6"/>
      <c r="C400" s="4"/>
      <c r="D400" s="7"/>
      <c r="E400" s="7"/>
      <c r="F400" s="23"/>
    </row>
    <row r="401">
      <c r="A401" s="9">
        <v>398</v>
      </c>
      <c r="B401" s="6"/>
      <c r="C401" s="4"/>
      <c r="D401" s="7"/>
      <c r="E401" s="7"/>
      <c r="F401" s="23"/>
    </row>
    <row r="402">
      <c r="A402" s="9">
        <v>399</v>
      </c>
      <c r="B402" s="6"/>
      <c r="C402" s="4"/>
      <c r="D402" s="7"/>
      <c r="E402" s="7"/>
      <c r="F402" s="23"/>
    </row>
    <row r="403">
      <c r="A403" s="9">
        <v>400</v>
      </c>
      <c r="B403" s="6"/>
      <c r="C403" s="4"/>
      <c r="D403" s="7"/>
      <c r="E403" s="7"/>
      <c r="F403" s="23"/>
    </row>
    <row r="404">
      <c r="A404" s="9">
        <v>401</v>
      </c>
      <c r="B404" s="6"/>
      <c r="C404" s="4"/>
      <c r="D404" s="7"/>
      <c r="E404" s="7"/>
      <c r="F404" s="23"/>
    </row>
    <row r="405">
      <c r="A405" s="9">
        <v>402</v>
      </c>
      <c r="B405" s="6"/>
      <c r="C405" s="4"/>
      <c r="D405" s="7"/>
      <c r="E405" s="7"/>
      <c r="F405" s="23"/>
    </row>
    <row r="406">
      <c r="A406" s="9">
        <v>403</v>
      </c>
      <c r="B406" s="6"/>
      <c r="C406" s="4"/>
      <c r="D406" s="7"/>
      <c r="E406" s="7"/>
      <c r="F406" s="23"/>
    </row>
    <row r="407">
      <c r="A407" s="9">
        <v>404</v>
      </c>
      <c r="B407" s="6"/>
      <c r="C407" s="4"/>
      <c r="D407" s="7"/>
      <c r="E407" s="7"/>
      <c r="F407" s="23"/>
    </row>
    <row r="408">
      <c r="A408" s="9">
        <v>405</v>
      </c>
      <c r="B408" s="6"/>
      <c r="C408" s="4"/>
      <c r="D408" s="7"/>
      <c r="E408" s="7"/>
      <c r="F408" s="23"/>
    </row>
    <row r="409">
      <c r="A409" s="9">
        <v>406</v>
      </c>
      <c r="B409" s="6"/>
      <c r="C409" s="4"/>
      <c r="D409" s="7"/>
      <c r="E409" s="7"/>
      <c r="F409" s="23"/>
    </row>
    <row r="410">
      <c r="A410" s="9">
        <v>407</v>
      </c>
      <c r="B410" s="6"/>
      <c r="C410" s="4"/>
      <c r="D410" s="7"/>
      <c r="E410" s="7"/>
      <c r="F410" s="23"/>
    </row>
    <row r="411">
      <c r="A411" s="9">
        <v>408</v>
      </c>
      <c r="B411" s="6"/>
      <c r="C411" s="4"/>
      <c r="D411" s="7"/>
      <c r="E411" s="7"/>
      <c r="F411" s="23"/>
    </row>
    <row r="412">
      <c r="A412" s="9">
        <v>409</v>
      </c>
      <c r="B412" s="6"/>
      <c r="C412" s="4"/>
      <c r="D412" s="7"/>
      <c r="E412" s="7"/>
      <c r="F412" s="23"/>
    </row>
    <row r="413">
      <c r="A413" s="9">
        <v>410</v>
      </c>
      <c r="B413" s="6"/>
      <c r="C413" s="4"/>
      <c r="D413" s="7"/>
      <c r="E413" s="7"/>
      <c r="F413" s="23"/>
    </row>
    <row r="414">
      <c r="A414" s="9">
        <v>411</v>
      </c>
      <c r="B414" s="6"/>
      <c r="C414" s="4"/>
      <c r="D414" s="7"/>
      <c r="E414" s="7"/>
      <c r="F414" s="23"/>
    </row>
    <row r="415">
      <c r="A415" s="9">
        <v>412</v>
      </c>
      <c r="B415" s="6"/>
      <c r="C415" s="4"/>
      <c r="D415" s="7"/>
      <c r="E415" s="7"/>
      <c r="F415" s="23"/>
    </row>
    <row r="416">
      <c r="A416" s="9">
        <v>413</v>
      </c>
      <c r="B416" s="6"/>
      <c r="C416" s="4"/>
      <c r="D416" s="7"/>
      <c r="E416" s="7"/>
      <c r="F416" s="23"/>
    </row>
    <row r="417">
      <c r="A417" s="9">
        <v>414</v>
      </c>
      <c r="B417" s="6"/>
      <c r="C417" s="4"/>
      <c r="D417" s="7"/>
      <c r="E417" s="7"/>
      <c r="F417" s="23"/>
    </row>
    <row r="418">
      <c r="A418" s="9">
        <v>415</v>
      </c>
      <c r="B418" s="6"/>
      <c r="C418" s="4"/>
      <c r="D418" s="7"/>
      <c r="E418" s="7"/>
      <c r="F418" s="23"/>
    </row>
    <row r="419">
      <c r="A419" s="9">
        <v>416</v>
      </c>
      <c r="B419" s="6"/>
      <c r="C419" s="4"/>
      <c r="D419" s="7"/>
      <c r="E419" s="7"/>
      <c r="F419" s="23"/>
    </row>
    <row r="420">
      <c r="A420" s="9">
        <v>417</v>
      </c>
      <c r="B420" s="6"/>
      <c r="C420" s="4"/>
      <c r="D420" s="7"/>
      <c r="E420" s="7"/>
      <c r="F420" s="23"/>
    </row>
    <row r="421">
      <c r="A421" s="9">
        <v>418</v>
      </c>
      <c r="B421" s="6"/>
      <c r="C421" s="4"/>
      <c r="D421" s="7"/>
      <c r="E421" s="7"/>
      <c r="F421" s="23"/>
    </row>
    <row r="422">
      <c r="A422" s="9">
        <v>419</v>
      </c>
      <c r="B422" s="6"/>
      <c r="C422" s="4"/>
      <c r="D422" s="7"/>
      <c r="E422" s="7"/>
      <c r="F422" s="23"/>
    </row>
    <row r="423">
      <c r="A423" s="9">
        <v>420</v>
      </c>
      <c r="B423" s="6"/>
      <c r="C423" s="4"/>
      <c r="D423" s="7"/>
      <c r="E423" s="7"/>
      <c r="F423" s="23"/>
    </row>
    <row r="424">
      <c r="A424" s="9">
        <v>421</v>
      </c>
      <c r="B424" s="6"/>
      <c r="C424" s="4"/>
      <c r="D424" s="7"/>
      <c r="E424" s="7"/>
      <c r="F424" s="23"/>
    </row>
    <row r="425">
      <c r="A425" s="9">
        <v>422</v>
      </c>
      <c r="B425" s="6"/>
      <c r="C425" s="4"/>
      <c r="D425" s="7"/>
      <c r="E425" s="7"/>
      <c r="F425" s="23"/>
    </row>
    <row r="426">
      <c r="A426" s="9">
        <v>423</v>
      </c>
      <c r="B426" s="6"/>
      <c r="C426" s="4"/>
      <c r="D426" s="7"/>
      <c r="E426" s="7"/>
      <c r="F426" s="23"/>
    </row>
    <row r="427">
      <c r="A427" s="9">
        <v>424</v>
      </c>
      <c r="B427" s="6"/>
      <c r="C427" s="4"/>
      <c r="D427" s="7"/>
      <c r="E427" s="7"/>
      <c r="F427" s="23"/>
    </row>
    <row r="428">
      <c r="A428" s="9">
        <v>425</v>
      </c>
      <c r="B428" s="6"/>
      <c r="C428" s="4"/>
      <c r="D428" s="7"/>
      <c r="E428" s="7"/>
      <c r="F428" s="23"/>
    </row>
    <row r="429">
      <c r="A429" s="9">
        <v>426</v>
      </c>
      <c r="B429" s="6"/>
      <c r="C429" s="4"/>
      <c r="D429" s="7"/>
      <c r="E429" s="7"/>
      <c r="F429" s="23"/>
    </row>
    <row r="430">
      <c r="A430" s="9">
        <v>427</v>
      </c>
      <c r="B430" s="6"/>
      <c r="C430" s="4"/>
      <c r="D430" s="7"/>
      <c r="E430" s="7"/>
      <c r="F430" s="23"/>
    </row>
    <row r="431">
      <c r="A431" s="9">
        <v>428</v>
      </c>
      <c r="B431" s="6"/>
      <c r="C431" s="4"/>
      <c r="D431" s="7"/>
      <c r="E431" s="7"/>
      <c r="F431" s="23"/>
    </row>
    <row r="432">
      <c r="A432" s="9">
        <v>429</v>
      </c>
      <c r="B432" s="6"/>
      <c r="C432" s="4"/>
      <c r="D432" s="7"/>
      <c r="E432" s="7"/>
      <c r="F432" s="23"/>
    </row>
    <row r="433">
      <c r="A433" s="9">
        <v>430</v>
      </c>
      <c r="B433" s="6"/>
      <c r="C433" s="4"/>
      <c r="D433" s="7"/>
      <c r="E433" s="7"/>
      <c r="F433" s="23"/>
    </row>
    <row r="434">
      <c r="A434" s="9">
        <v>431</v>
      </c>
      <c r="B434" s="6"/>
      <c r="C434" s="4"/>
      <c r="D434" s="7"/>
      <c r="E434" s="7"/>
      <c r="F434" s="23"/>
    </row>
    <row r="435">
      <c r="A435" s="9">
        <v>432</v>
      </c>
      <c r="B435" s="6"/>
      <c r="C435" s="4"/>
      <c r="D435" s="7"/>
      <c r="E435" s="7"/>
      <c r="F435" s="23"/>
    </row>
    <row r="436">
      <c r="A436" s="9">
        <v>433</v>
      </c>
      <c r="B436" s="6"/>
      <c r="C436" s="4"/>
      <c r="D436" s="7"/>
      <c r="E436" s="7"/>
      <c r="F436" s="23"/>
    </row>
    <row r="437">
      <c r="A437" s="9">
        <v>434</v>
      </c>
      <c r="B437" s="6"/>
      <c r="C437" s="4"/>
      <c r="D437" s="7"/>
      <c r="E437" s="7"/>
      <c r="F437" s="23"/>
    </row>
    <row r="438">
      <c r="A438" s="9">
        <v>435</v>
      </c>
      <c r="B438" s="6"/>
      <c r="C438" s="4"/>
      <c r="D438" s="7"/>
      <c r="E438" s="7"/>
      <c r="F438" s="23"/>
    </row>
    <row r="439">
      <c r="A439" s="9">
        <v>436</v>
      </c>
      <c r="B439" s="6"/>
      <c r="C439" s="4"/>
      <c r="D439" s="7"/>
      <c r="E439" s="7"/>
      <c r="F439" s="23"/>
    </row>
    <row r="440">
      <c r="A440" s="9">
        <v>437</v>
      </c>
      <c r="B440" s="6"/>
      <c r="C440" s="4"/>
      <c r="D440" s="7"/>
      <c r="E440" s="7"/>
      <c r="F440" s="23"/>
    </row>
    <row r="441">
      <c r="A441" s="9">
        <v>438</v>
      </c>
      <c r="B441" s="6"/>
      <c r="C441" s="4"/>
      <c r="D441" s="7"/>
      <c r="E441" s="7"/>
      <c r="F441" s="23"/>
    </row>
    <row r="442">
      <c r="A442" s="9">
        <v>439</v>
      </c>
      <c r="B442" s="6"/>
      <c r="C442" s="4"/>
      <c r="D442" s="7"/>
      <c r="E442" s="7"/>
      <c r="F442" s="23"/>
    </row>
    <row r="443">
      <c r="A443" s="9">
        <v>440</v>
      </c>
      <c r="B443" s="6"/>
      <c r="C443" s="4"/>
      <c r="D443" s="7"/>
      <c r="E443" s="7"/>
      <c r="F443" s="23"/>
    </row>
    <row r="444">
      <c r="A444" s="9">
        <v>441</v>
      </c>
      <c r="B444" s="6"/>
      <c r="C444" s="4"/>
      <c r="D444" s="7"/>
      <c r="E444" s="7"/>
      <c r="F444" s="23"/>
    </row>
    <row r="445">
      <c r="A445" s="9">
        <v>442</v>
      </c>
      <c r="B445" s="6"/>
      <c r="C445" s="4"/>
      <c r="D445" s="7"/>
      <c r="E445" s="7"/>
      <c r="F445" s="23"/>
    </row>
    <row r="446">
      <c r="A446" s="9">
        <v>443</v>
      </c>
      <c r="B446" s="6"/>
      <c r="C446" s="4"/>
      <c r="D446" s="7"/>
      <c r="E446" s="7"/>
      <c r="F446" s="23"/>
    </row>
    <row r="447">
      <c r="A447" s="9">
        <v>444</v>
      </c>
      <c r="B447" s="6"/>
      <c r="C447" s="4"/>
      <c r="D447" s="7"/>
      <c r="E447" s="7"/>
      <c r="F447" s="23"/>
    </row>
    <row r="448">
      <c r="A448" s="9">
        <v>445</v>
      </c>
      <c r="B448" s="6"/>
      <c r="C448" s="4"/>
      <c r="D448" s="7"/>
      <c r="E448" s="7"/>
      <c r="F448" s="23"/>
    </row>
    <row r="449">
      <c r="A449" s="9">
        <v>446</v>
      </c>
      <c r="B449" s="6"/>
      <c r="C449" s="4"/>
      <c r="D449" s="7"/>
      <c r="E449" s="7"/>
      <c r="F449" s="23"/>
    </row>
    <row r="450">
      <c r="A450" s="9">
        <v>447</v>
      </c>
      <c r="B450" s="6"/>
      <c r="C450" s="4"/>
      <c r="D450" s="7"/>
      <c r="E450" s="7"/>
      <c r="F450" s="23"/>
    </row>
    <row r="451">
      <c r="A451" s="9">
        <v>448</v>
      </c>
      <c r="B451" s="6"/>
      <c r="C451" s="4"/>
      <c r="D451" s="7"/>
      <c r="E451" s="7"/>
      <c r="F451" s="23"/>
    </row>
    <row r="452">
      <c r="A452" s="9">
        <v>449</v>
      </c>
      <c r="B452" s="6"/>
      <c r="C452" s="4"/>
      <c r="D452" s="7"/>
      <c r="E452" s="7"/>
      <c r="F452" s="23"/>
    </row>
    <row r="453">
      <c r="A453" s="9">
        <v>450</v>
      </c>
      <c r="B453" s="6"/>
      <c r="C453" s="4"/>
      <c r="D453" s="7"/>
      <c r="E453" s="7"/>
      <c r="F453" s="23"/>
    </row>
    <row r="454">
      <c r="A454" s="9">
        <v>451</v>
      </c>
      <c r="B454" s="6"/>
      <c r="C454" s="4"/>
      <c r="D454" s="7"/>
      <c r="E454" s="7"/>
      <c r="F454" s="23"/>
    </row>
    <row r="455">
      <c r="A455" s="9">
        <v>452</v>
      </c>
      <c r="B455" s="6"/>
      <c r="C455" s="4"/>
      <c r="D455" s="7"/>
      <c r="E455" s="7"/>
      <c r="F455" s="23"/>
    </row>
    <row r="456">
      <c r="A456" s="9">
        <v>453</v>
      </c>
      <c r="B456" s="6"/>
      <c r="C456" s="4"/>
      <c r="D456" s="7"/>
      <c r="E456" s="7"/>
      <c r="F456" s="23"/>
    </row>
    <row r="457">
      <c r="A457" s="9">
        <v>454</v>
      </c>
      <c r="B457" s="6"/>
      <c r="C457" s="4"/>
      <c r="D457" s="7"/>
      <c r="E457" s="7"/>
      <c r="F457" s="23"/>
    </row>
    <row r="458">
      <c r="A458" s="9">
        <v>455</v>
      </c>
      <c r="B458" s="6"/>
      <c r="C458" s="4"/>
      <c r="D458" s="7"/>
      <c r="E458" s="7"/>
      <c r="F458" s="23"/>
    </row>
    <row r="459">
      <c r="A459" s="9">
        <v>456</v>
      </c>
      <c r="B459" s="6"/>
      <c r="C459" s="4"/>
      <c r="D459" s="7"/>
      <c r="E459" s="7"/>
      <c r="F459" s="23"/>
    </row>
    <row r="460">
      <c r="A460" s="9">
        <v>457</v>
      </c>
      <c r="B460" s="6"/>
      <c r="C460" s="4"/>
      <c r="D460" s="7"/>
      <c r="E460" s="7"/>
      <c r="F460" s="23"/>
    </row>
    <row r="461">
      <c r="A461" s="9">
        <v>458</v>
      </c>
      <c r="B461" s="6"/>
      <c r="C461" s="4"/>
      <c r="D461" s="7"/>
      <c r="E461" s="7"/>
      <c r="F461" s="23"/>
    </row>
    <row r="462">
      <c r="A462" s="9">
        <v>459</v>
      </c>
      <c r="B462" s="6"/>
      <c r="C462" s="4"/>
      <c r="D462" s="7"/>
      <c r="E462" s="7"/>
      <c r="F462" s="23"/>
    </row>
    <row r="463">
      <c r="A463" s="9">
        <v>460</v>
      </c>
      <c r="B463" s="6"/>
      <c r="C463" s="4"/>
      <c r="D463" s="7"/>
      <c r="E463" s="7"/>
      <c r="F463" s="23"/>
    </row>
    <row r="464">
      <c r="A464" s="9">
        <v>461</v>
      </c>
      <c r="B464" s="6"/>
      <c r="C464" s="4"/>
      <c r="D464" s="7"/>
      <c r="E464" s="7"/>
      <c r="F464" s="23"/>
    </row>
    <row r="465">
      <c r="A465" s="9">
        <v>462</v>
      </c>
      <c r="B465" s="6"/>
      <c r="C465" s="4"/>
      <c r="D465" s="7"/>
      <c r="E465" s="7"/>
      <c r="F465" s="23"/>
    </row>
    <row r="466">
      <c r="A466" s="9">
        <v>463</v>
      </c>
      <c r="B466" s="6"/>
      <c r="C466" s="4"/>
      <c r="D466" s="7"/>
      <c r="E466" s="7"/>
      <c r="F466" s="23"/>
    </row>
    <row r="467">
      <c r="A467" s="9">
        <v>464</v>
      </c>
      <c r="B467" s="6"/>
      <c r="C467" s="4"/>
      <c r="D467" s="7"/>
      <c r="E467" s="7"/>
      <c r="F467" s="23"/>
    </row>
    <row r="468">
      <c r="A468" s="9">
        <v>465</v>
      </c>
      <c r="B468" s="6"/>
      <c r="C468" s="4"/>
      <c r="D468" s="7"/>
      <c r="E468" s="7"/>
      <c r="F468" s="23"/>
    </row>
    <row r="469">
      <c r="A469" s="9">
        <v>466</v>
      </c>
      <c r="B469" s="6"/>
      <c r="C469" s="4"/>
      <c r="D469" s="7"/>
      <c r="E469" s="7"/>
      <c r="F469" s="23"/>
    </row>
    <row r="470">
      <c r="A470" s="9">
        <v>467</v>
      </c>
      <c r="B470" s="6"/>
      <c r="C470" s="4"/>
      <c r="D470" s="7"/>
      <c r="E470" s="7"/>
      <c r="F470" s="23"/>
    </row>
    <row r="471">
      <c r="A471" s="9">
        <v>468</v>
      </c>
      <c r="B471" s="6"/>
      <c r="C471" s="4"/>
      <c r="D471" s="7"/>
      <c r="E471" s="7"/>
      <c r="F471" s="23"/>
    </row>
    <row r="472">
      <c r="A472" s="9">
        <v>469</v>
      </c>
      <c r="B472" s="6"/>
      <c r="C472" s="4"/>
      <c r="D472" s="7"/>
      <c r="E472" s="7"/>
      <c r="F472" s="23"/>
    </row>
    <row r="473">
      <c r="A473" s="9">
        <v>470</v>
      </c>
      <c r="B473" s="6"/>
      <c r="C473" s="4"/>
      <c r="D473" s="7"/>
      <c r="E473" s="7"/>
      <c r="F473" s="23"/>
    </row>
    <row r="474">
      <c r="A474" s="9">
        <v>471</v>
      </c>
      <c r="B474" s="6"/>
      <c r="C474" s="4"/>
      <c r="D474" s="7"/>
      <c r="E474" s="7"/>
      <c r="F474" s="23"/>
    </row>
    <row r="475">
      <c r="A475" s="9">
        <v>472</v>
      </c>
      <c r="B475" s="6"/>
      <c r="C475" s="4"/>
      <c r="D475" s="7"/>
      <c r="E475" s="7"/>
      <c r="F475" s="23"/>
    </row>
    <row r="476">
      <c r="A476" s="9">
        <v>473</v>
      </c>
      <c r="B476" s="6"/>
      <c r="C476" s="4"/>
      <c r="D476" s="7"/>
      <c r="E476" s="7"/>
      <c r="F476" s="23"/>
    </row>
    <row r="477">
      <c r="A477" s="9">
        <v>474</v>
      </c>
      <c r="B477" s="6"/>
      <c r="C477" s="4"/>
      <c r="D477" s="7"/>
      <c r="E477" s="7"/>
      <c r="F477" s="23"/>
    </row>
    <row r="478">
      <c r="A478" s="9">
        <v>475</v>
      </c>
      <c r="B478" s="6"/>
      <c r="C478" s="4"/>
      <c r="D478" s="7"/>
      <c r="E478" s="7"/>
      <c r="F478" s="23"/>
    </row>
    <row r="479">
      <c r="A479" s="9">
        <v>476</v>
      </c>
      <c r="B479" s="6"/>
      <c r="C479" s="4"/>
      <c r="D479" s="7"/>
      <c r="E479" s="7"/>
      <c r="F479" s="23"/>
    </row>
    <row r="480">
      <c r="A480" s="9">
        <v>477</v>
      </c>
      <c r="B480" s="6"/>
      <c r="C480" s="4"/>
      <c r="D480" s="7"/>
      <c r="E480" s="7"/>
      <c r="F480" s="23"/>
    </row>
    <row r="481">
      <c r="A481" s="9">
        <v>478</v>
      </c>
      <c r="B481" s="6"/>
      <c r="C481" s="4"/>
      <c r="D481" s="7"/>
      <c r="E481" s="7"/>
      <c r="F481" s="23"/>
    </row>
    <row r="482">
      <c r="A482" s="9">
        <v>479</v>
      </c>
      <c r="B482" s="6"/>
      <c r="C482" s="4"/>
      <c r="D482" s="7"/>
      <c r="E482" s="7"/>
      <c r="F482" s="23"/>
    </row>
    <row r="483">
      <c r="A483" s="9">
        <v>480</v>
      </c>
      <c r="B483" s="6"/>
      <c r="C483" s="4"/>
      <c r="D483" s="7"/>
      <c r="E483" s="7"/>
      <c r="F483" s="23"/>
    </row>
    <row r="484">
      <c r="A484" s="9">
        <v>481</v>
      </c>
      <c r="B484" s="6"/>
      <c r="C484" s="4"/>
      <c r="D484" s="7"/>
      <c r="E484" s="7"/>
      <c r="F484" s="23"/>
    </row>
    <row r="485">
      <c r="A485" s="9">
        <v>482</v>
      </c>
      <c r="B485" s="6"/>
      <c r="C485" s="4"/>
      <c r="D485" s="7"/>
      <c r="E485" s="7"/>
      <c r="F485" s="23"/>
    </row>
    <row r="486">
      <c r="A486" s="9">
        <v>483</v>
      </c>
      <c r="B486" s="6"/>
      <c r="C486" s="4"/>
      <c r="D486" s="7"/>
      <c r="E486" s="7"/>
      <c r="F486" s="23"/>
    </row>
    <row r="487">
      <c r="A487" s="9">
        <v>484</v>
      </c>
      <c r="B487" s="6"/>
      <c r="C487" s="4"/>
      <c r="D487" s="7"/>
      <c r="E487" s="7"/>
      <c r="F487" s="23"/>
    </row>
    <row r="488">
      <c r="A488" s="9">
        <v>485</v>
      </c>
      <c r="B488" s="6"/>
      <c r="C488" s="4"/>
      <c r="D488" s="7"/>
      <c r="E488" s="7"/>
      <c r="F488" s="23"/>
    </row>
    <row r="489">
      <c r="A489" s="9">
        <v>486</v>
      </c>
      <c r="B489" s="6"/>
      <c r="C489" s="4"/>
      <c r="D489" s="7"/>
      <c r="E489" s="7"/>
      <c r="F489" s="23"/>
    </row>
    <row r="490">
      <c r="A490" s="9">
        <v>487</v>
      </c>
      <c r="B490" s="6"/>
      <c r="C490" s="4"/>
      <c r="D490" s="7"/>
      <c r="E490" s="7"/>
      <c r="F490" s="23"/>
    </row>
    <row r="491">
      <c r="A491" s="9">
        <v>488</v>
      </c>
      <c r="B491" s="6"/>
      <c r="C491" s="4"/>
      <c r="D491" s="7"/>
      <c r="E491" s="7"/>
      <c r="F491" s="23"/>
    </row>
    <row r="492">
      <c r="A492" s="9">
        <v>489</v>
      </c>
      <c r="B492" s="6"/>
      <c r="C492" s="4"/>
      <c r="D492" s="7"/>
      <c r="E492" s="7"/>
      <c r="F492" s="23"/>
    </row>
    <row r="493">
      <c r="A493" s="9">
        <v>490</v>
      </c>
      <c r="B493" s="6"/>
      <c r="C493" s="4"/>
      <c r="D493" s="7"/>
      <c r="E493" s="7"/>
      <c r="F493" s="23"/>
    </row>
    <row r="494">
      <c r="A494" s="9">
        <v>491</v>
      </c>
      <c r="B494" s="6"/>
      <c r="C494" s="4"/>
      <c r="D494" s="7"/>
      <c r="E494" s="7"/>
      <c r="F494" s="23"/>
    </row>
    <row r="495">
      <c r="A495" s="9">
        <v>492</v>
      </c>
      <c r="B495" s="6"/>
      <c r="C495" s="4"/>
      <c r="D495" s="7"/>
      <c r="E495" s="7"/>
      <c r="F495" s="23"/>
    </row>
    <row r="496">
      <c r="A496" s="9">
        <v>493</v>
      </c>
      <c r="B496" s="6"/>
      <c r="C496" s="4"/>
      <c r="D496" s="7"/>
      <c r="E496" s="7"/>
      <c r="F496" s="23"/>
    </row>
    <row r="497">
      <c r="A497" s="9">
        <v>494</v>
      </c>
      <c r="B497" s="6"/>
      <c r="C497" s="4"/>
      <c r="D497" s="7"/>
      <c r="E497" s="7"/>
      <c r="F497" s="23"/>
    </row>
    <row r="498">
      <c r="A498" s="9">
        <v>495</v>
      </c>
      <c r="B498" s="6"/>
      <c r="C498" s="4"/>
      <c r="D498" s="7"/>
      <c r="E498" s="7"/>
      <c r="F498" s="23"/>
    </row>
    <row r="499">
      <c r="A499" s="9">
        <v>496</v>
      </c>
      <c r="B499" s="6"/>
      <c r="C499" s="4"/>
      <c r="D499" s="7"/>
      <c r="E499" s="7"/>
      <c r="F499" s="23"/>
    </row>
    <row r="500">
      <c r="A500" s="9">
        <v>497</v>
      </c>
      <c r="B500" s="6"/>
      <c r="C500" s="4"/>
      <c r="D500" s="7"/>
      <c r="E500" s="7"/>
      <c r="F500" s="23"/>
    </row>
    <row r="501">
      <c r="A501" s="9">
        <v>498</v>
      </c>
      <c r="B501" s="6"/>
      <c r="C501" s="4"/>
      <c r="D501" s="7"/>
      <c r="E501" s="7"/>
      <c r="F501" s="23"/>
    </row>
    <row r="502">
      <c r="A502" s="9">
        <v>499</v>
      </c>
      <c r="B502" s="6"/>
      <c r="C502" s="4"/>
      <c r="D502" s="7"/>
      <c r="E502" s="7"/>
      <c r="F502" s="23"/>
    </row>
    <row r="503">
      <c r="A503" s="9">
        <v>500</v>
      </c>
      <c r="B503" s="6"/>
      <c r="C503" s="4"/>
      <c r="D503" s="7"/>
      <c r="E503" s="7"/>
      <c r="F503" s="23"/>
    </row>
    <row r="504">
      <c r="A504" s="9">
        <v>501</v>
      </c>
      <c r="B504" s="6"/>
      <c r="C504" s="4"/>
      <c r="D504" s="7"/>
      <c r="E504" s="7"/>
      <c r="F504" s="23"/>
    </row>
    <row r="505">
      <c r="A505" s="9">
        <v>502</v>
      </c>
      <c r="B505" s="6"/>
      <c r="C505" s="4"/>
      <c r="D505" s="7"/>
      <c r="E505" s="7"/>
      <c r="F505" s="23"/>
    </row>
    <row r="506">
      <c r="A506" s="9">
        <v>503</v>
      </c>
      <c r="B506" s="6"/>
      <c r="C506" s="4"/>
      <c r="D506" s="7"/>
      <c r="E506" s="7"/>
      <c r="F506" s="23"/>
    </row>
    <row r="507">
      <c r="A507" s="9">
        <v>504</v>
      </c>
      <c r="B507" s="6"/>
      <c r="C507" s="4"/>
      <c r="D507" s="7"/>
      <c r="E507" s="7"/>
      <c r="F507" s="23"/>
    </row>
    <row r="508">
      <c r="A508" s="9">
        <v>505</v>
      </c>
      <c r="B508" s="6"/>
      <c r="C508" s="4"/>
      <c r="D508" s="7"/>
      <c r="E508" s="7"/>
      <c r="F508" s="23"/>
    </row>
    <row r="509">
      <c r="A509" s="9">
        <v>506</v>
      </c>
      <c r="B509" s="6"/>
      <c r="C509" s="4"/>
      <c r="D509" s="7"/>
      <c r="E509" s="7"/>
      <c r="F509" s="23"/>
    </row>
    <row r="510">
      <c r="A510" s="9">
        <v>507</v>
      </c>
      <c r="B510" s="6"/>
      <c r="C510" s="4"/>
      <c r="D510" s="7"/>
      <c r="E510" s="7"/>
      <c r="F510" s="23"/>
    </row>
    <row r="511">
      <c r="A511" s="9">
        <v>508</v>
      </c>
      <c r="B511" s="6"/>
      <c r="C511" s="4"/>
      <c r="D511" s="7"/>
      <c r="E511" s="7"/>
      <c r="F511" s="23"/>
    </row>
    <row r="512">
      <c r="A512" s="9">
        <v>509</v>
      </c>
      <c r="B512" s="6"/>
      <c r="C512" s="4"/>
      <c r="D512" s="7"/>
      <c r="E512" s="7"/>
      <c r="F512" s="23"/>
    </row>
    <row r="513">
      <c r="A513" s="9">
        <v>510</v>
      </c>
      <c r="B513" s="6"/>
      <c r="C513" s="4"/>
      <c r="D513" s="7"/>
      <c r="E513" s="7"/>
      <c r="F513" s="23"/>
    </row>
    <row r="514">
      <c r="A514" s="9">
        <v>511</v>
      </c>
      <c r="B514" s="6"/>
      <c r="C514" s="4"/>
      <c r="D514" s="7"/>
      <c r="E514" s="7"/>
      <c r="F514" s="23"/>
    </row>
    <row r="515">
      <c r="A515" s="9">
        <v>512</v>
      </c>
      <c r="B515" s="6"/>
      <c r="C515" s="4"/>
      <c r="D515" s="7"/>
      <c r="E515" s="7"/>
      <c r="F515" s="23"/>
    </row>
    <row r="516">
      <c r="A516" s="9">
        <v>513</v>
      </c>
      <c r="B516" s="6"/>
      <c r="C516" s="4"/>
      <c r="D516" s="7"/>
      <c r="E516" s="7"/>
      <c r="F516" s="23"/>
    </row>
    <row r="517">
      <c r="A517" s="9">
        <v>514</v>
      </c>
      <c r="B517" s="6"/>
      <c r="C517" s="4"/>
      <c r="D517" s="7"/>
      <c r="E517" s="7"/>
      <c r="F517" s="23"/>
    </row>
    <row r="518">
      <c r="A518" s="9">
        <v>515</v>
      </c>
      <c r="B518" s="6"/>
      <c r="C518" s="4"/>
      <c r="D518" s="7"/>
      <c r="E518" s="7"/>
      <c r="F518" s="23"/>
    </row>
    <row r="519">
      <c r="A519" s="9">
        <v>516</v>
      </c>
      <c r="B519" s="6"/>
      <c r="C519" s="4"/>
      <c r="D519" s="7"/>
      <c r="E519" s="7"/>
      <c r="F519" s="23"/>
    </row>
    <row r="520">
      <c r="A520" s="9">
        <v>517</v>
      </c>
      <c r="B520" s="6"/>
      <c r="C520" s="4"/>
      <c r="D520" s="7"/>
      <c r="E520" s="7"/>
      <c r="F520" s="23"/>
    </row>
    <row r="521">
      <c r="A521" s="9">
        <v>518</v>
      </c>
      <c r="B521" s="6"/>
      <c r="C521" s="4"/>
      <c r="D521" s="7"/>
      <c r="E521" s="7"/>
      <c r="F521" s="23"/>
    </row>
    <row r="522">
      <c r="A522" s="9">
        <v>519</v>
      </c>
      <c r="B522" s="6"/>
      <c r="C522" s="4"/>
      <c r="D522" s="7"/>
      <c r="E522" s="7"/>
      <c r="F522" s="23"/>
    </row>
    <row r="523">
      <c r="A523" s="9">
        <v>520</v>
      </c>
      <c r="B523" s="6"/>
      <c r="C523" s="4"/>
      <c r="D523" s="7"/>
      <c r="E523" s="7"/>
      <c r="F523" s="23"/>
    </row>
    <row r="524">
      <c r="A524" s="9">
        <v>521</v>
      </c>
      <c r="B524" s="6"/>
      <c r="C524" s="4"/>
      <c r="D524" s="7"/>
      <c r="E524" s="7"/>
      <c r="F524" s="23"/>
    </row>
    <row r="525">
      <c r="A525" s="9">
        <v>522</v>
      </c>
      <c r="B525" s="6"/>
      <c r="C525" s="4"/>
      <c r="D525" s="7"/>
      <c r="E525" s="7"/>
      <c r="F525" s="23"/>
    </row>
    <row r="526">
      <c r="A526" s="9">
        <v>523</v>
      </c>
      <c r="B526" s="6"/>
      <c r="C526" s="4"/>
      <c r="D526" s="7"/>
      <c r="E526" s="7"/>
      <c r="F526" s="23"/>
    </row>
    <row r="527">
      <c r="A527" s="9">
        <v>524</v>
      </c>
      <c r="B527" s="6"/>
      <c r="C527" s="4"/>
      <c r="D527" s="7"/>
      <c r="E527" s="7"/>
      <c r="F527" s="23"/>
    </row>
    <row r="528">
      <c r="A528" s="9">
        <v>525</v>
      </c>
      <c r="B528" s="6"/>
      <c r="C528" s="4"/>
      <c r="D528" s="7"/>
      <c r="E528" s="7"/>
      <c r="F528" s="23"/>
    </row>
    <row r="529">
      <c r="A529" s="9">
        <v>526</v>
      </c>
      <c r="B529" s="6"/>
      <c r="C529" s="4"/>
      <c r="D529" s="7"/>
      <c r="E529" s="7"/>
      <c r="F529" s="23"/>
    </row>
    <row r="530">
      <c r="A530" s="9">
        <v>527</v>
      </c>
      <c r="B530" s="6"/>
      <c r="C530" s="4"/>
      <c r="D530" s="7"/>
      <c r="E530" s="7"/>
      <c r="F530" s="23"/>
    </row>
    <row r="531">
      <c r="A531" s="9">
        <v>528</v>
      </c>
      <c r="B531" s="6"/>
      <c r="C531" s="4"/>
      <c r="D531" s="7"/>
      <c r="E531" s="7"/>
      <c r="F531" s="23"/>
    </row>
    <row r="532">
      <c r="A532" s="9">
        <v>529</v>
      </c>
      <c r="B532" s="6"/>
      <c r="C532" s="4"/>
      <c r="D532" s="7"/>
      <c r="E532" s="7"/>
      <c r="F532" s="23"/>
    </row>
    <row r="533">
      <c r="A533" s="9">
        <v>530</v>
      </c>
      <c r="B533" s="6"/>
      <c r="C533" s="4"/>
      <c r="D533" s="7"/>
      <c r="E533" s="7"/>
      <c r="F533" s="23"/>
    </row>
    <row r="534">
      <c r="A534" s="9">
        <v>531</v>
      </c>
      <c r="B534" s="6"/>
      <c r="C534" s="4"/>
      <c r="D534" s="7"/>
      <c r="E534" s="7"/>
      <c r="F534" s="23"/>
    </row>
    <row r="535">
      <c r="A535" s="9">
        <v>532</v>
      </c>
      <c r="B535" s="6"/>
      <c r="C535" s="4"/>
      <c r="D535" s="7"/>
      <c r="E535" s="7"/>
      <c r="F535" s="23"/>
    </row>
    <row r="536">
      <c r="A536" s="9">
        <v>533</v>
      </c>
      <c r="B536" s="6"/>
      <c r="C536" s="4"/>
      <c r="D536" s="7"/>
      <c r="E536" s="7"/>
      <c r="F536" s="23"/>
    </row>
    <row r="537">
      <c r="A537" s="9">
        <v>534</v>
      </c>
      <c r="B537" s="6"/>
      <c r="C537" s="4"/>
      <c r="D537" s="7"/>
      <c r="E537" s="7"/>
      <c r="F537" s="23"/>
    </row>
    <row r="538">
      <c r="A538" s="9">
        <v>535</v>
      </c>
      <c r="B538" s="6"/>
      <c r="C538" s="4"/>
      <c r="D538" s="7"/>
      <c r="E538" s="7"/>
      <c r="F538" s="23"/>
    </row>
    <row r="539">
      <c r="A539" s="9">
        <v>536</v>
      </c>
      <c r="B539" s="6"/>
      <c r="C539" s="4"/>
      <c r="D539" s="7"/>
      <c r="E539" s="7"/>
      <c r="F539" s="23"/>
    </row>
    <row r="540">
      <c r="A540" s="9">
        <v>537</v>
      </c>
      <c r="B540" s="6"/>
      <c r="C540" s="4"/>
      <c r="D540" s="7"/>
      <c r="E540" s="7"/>
      <c r="F540" s="23"/>
    </row>
    <row r="541">
      <c r="A541" s="9">
        <v>538</v>
      </c>
      <c r="B541" s="6"/>
      <c r="C541" s="4"/>
      <c r="D541" s="7"/>
      <c r="E541" s="7"/>
      <c r="F541" s="23"/>
    </row>
    <row r="542">
      <c r="A542" s="9">
        <v>539</v>
      </c>
      <c r="B542" s="6"/>
      <c r="C542" s="4"/>
      <c r="D542" s="7"/>
      <c r="E542" s="7"/>
      <c r="F542" s="23"/>
    </row>
    <row r="543">
      <c r="A543" s="9">
        <v>540</v>
      </c>
      <c r="B543" s="6"/>
      <c r="C543" s="4"/>
      <c r="D543" s="7"/>
      <c r="E543" s="7"/>
      <c r="F543" s="23"/>
    </row>
    <row r="544">
      <c r="A544" s="9">
        <v>541</v>
      </c>
      <c r="B544" s="6"/>
      <c r="C544" s="4"/>
      <c r="D544" s="7"/>
      <c r="E544" s="7"/>
      <c r="F544" s="23"/>
    </row>
    <row r="545">
      <c r="A545" s="9">
        <v>542</v>
      </c>
      <c r="B545" s="6"/>
      <c r="C545" s="4"/>
      <c r="D545" s="7"/>
      <c r="E545" s="7"/>
      <c r="F545" s="23"/>
    </row>
    <row r="546">
      <c r="A546" s="9">
        <v>543</v>
      </c>
      <c r="B546" s="6"/>
      <c r="C546" s="4"/>
      <c r="D546" s="7"/>
      <c r="E546" s="7"/>
      <c r="F546" s="23"/>
    </row>
    <row r="547">
      <c r="A547" s="9">
        <v>544</v>
      </c>
      <c r="B547" s="6"/>
      <c r="C547" s="4"/>
      <c r="D547" s="7"/>
      <c r="E547" s="7"/>
      <c r="F547" s="23"/>
    </row>
    <row r="548">
      <c r="A548" s="9">
        <v>545</v>
      </c>
      <c r="B548" s="6"/>
      <c r="C548" s="4"/>
      <c r="D548" s="7"/>
      <c r="E548" s="7"/>
      <c r="F548" s="23"/>
    </row>
    <row r="549">
      <c r="A549" s="9">
        <v>546</v>
      </c>
      <c r="B549" s="6"/>
      <c r="C549" s="4"/>
      <c r="D549" s="7"/>
      <c r="E549" s="7"/>
      <c r="F549" s="23"/>
    </row>
    <row r="550">
      <c r="A550" s="9">
        <v>547</v>
      </c>
      <c r="B550" s="6"/>
      <c r="C550" s="4"/>
      <c r="D550" s="7"/>
      <c r="E550" s="7"/>
      <c r="F550" s="23"/>
    </row>
    <row r="551">
      <c r="A551" s="9">
        <v>548</v>
      </c>
      <c r="B551" s="6"/>
      <c r="C551" s="4"/>
      <c r="D551" s="7"/>
      <c r="E551" s="7"/>
      <c r="F551" s="23"/>
    </row>
    <row r="552">
      <c r="A552" s="9">
        <v>549</v>
      </c>
      <c r="B552" s="6"/>
      <c r="C552" s="4"/>
      <c r="D552" s="7"/>
      <c r="E552" s="7"/>
      <c r="F552" s="23"/>
    </row>
    <row r="553">
      <c r="A553" s="9">
        <v>550</v>
      </c>
      <c r="B553" s="6"/>
      <c r="C553" s="4"/>
      <c r="D553" s="7"/>
      <c r="E553" s="7"/>
      <c r="F553" s="23"/>
    </row>
    <row r="554">
      <c r="A554" s="9">
        <v>551</v>
      </c>
      <c r="B554" s="6"/>
      <c r="C554" s="4"/>
      <c r="D554" s="7"/>
      <c r="E554" s="7"/>
      <c r="F554" s="23"/>
    </row>
    <row r="555">
      <c r="A555" s="9">
        <v>552</v>
      </c>
      <c r="B555" s="6"/>
      <c r="C555" s="4"/>
      <c r="D555" s="7"/>
      <c r="E555" s="7"/>
      <c r="F555" s="23"/>
    </row>
    <row r="556">
      <c r="A556" s="9">
        <v>553</v>
      </c>
      <c r="B556" s="6"/>
      <c r="C556" s="4"/>
      <c r="D556" s="7"/>
      <c r="E556" s="7"/>
      <c r="F556" s="23"/>
    </row>
    <row r="557">
      <c r="A557" s="9">
        <v>554</v>
      </c>
      <c r="B557" s="6"/>
      <c r="C557" s="4"/>
      <c r="D557" s="7"/>
      <c r="E557" s="7"/>
      <c r="F557" s="23"/>
    </row>
    <row r="558">
      <c r="A558" s="9">
        <v>555</v>
      </c>
      <c r="B558" s="6"/>
      <c r="C558" s="4"/>
      <c r="D558" s="7"/>
      <c r="E558" s="7"/>
      <c r="F558" s="23"/>
    </row>
    <row r="559">
      <c r="A559" s="9">
        <v>556</v>
      </c>
      <c r="B559" s="6"/>
      <c r="C559" s="4"/>
      <c r="D559" s="7"/>
      <c r="E559" s="7"/>
      <c r="F559" s="23"/>
    </row>
    <row r="560">
      <c r="A560" s="9">
        <v>557</v>
      </c>
      <c r="B560" s="6"/>
      <c r="C560" s="4"/>
      <c r="D560" s="7"/>
      <c r="E560" s="7"/>
      <c r="F560" s="23"/>
    </row>
    <row r="561">
      <c r="A561" s="9">
        <v>558</v>
      </c>
      <c r="B561" s="6"/>
      <c r="C561" s="4"/>
      <c r="D561" s="7"/>
      <c r="E561" s="7"/>
      <c r="F561" s="23"/>
    </row>
    <row r="562">
      <c r="A562" s="9">
        <v>559</v>
      </c>
      <c r="B562" s="6"/>
      <c r="C562" s="4"/>
      <c r="D562" s="7"/>
      <c r="E562" s="7"/>
      <c r="F562" s="23"/>
    </row>
    <row r="563">
      <c r="A563" s="9">
        <v>560</v>
      </c>
      <c r="B563" s="6"/>
      <c r="C563" s="4"/>
      <c r="D563" s="7"/>
      <c r="E563" s="7"/>
      <c r="F563" s="23"/>
    </row>
    <row r="564">
      <c r="A564" s="9">
        <v>561</v>
      </c>
      <c r="B564" s="6"/>
      <c r="C564" s="4"/>
      <c r="D564" s="7"/>
      <c r="E564" s="7"/>
      <c r="F564" s="23"/>
    </row>
    <row r="565">
      <c r="A565" s="9">
        <v>562</v>
      </c>
      <c r="B565" s="6"/>
      <c r="C565" s="4"/>
      <c r="D565" s="7"/>
      <c r="E565" s="7"/>
      <c r="F565" s="23"/>
    </row>
    <row r="566">
      <c r="A566" s="9">
        <v>563</v>
      </c>
      <c r="B566" s="6"/>
      <c r="C566" s="4"/>
      <c r="D566" s="7"/>
      <c r="E566" s="7"/>
      <c r="F566" s="23"/>
    </row>
    <row r="567">
      <c r="A567" s="9">
        <v>564</v>
      </c>
      <c r="B567" s="6"/>
      <c r="C567" s="4"/>
      <c r="D567" s="7"/>
      <c r="E567" s="7"/>
      <c r="F567" s="23"/>
    </row>
    <row r="568">
      <c r="A568" s="9">
        <v>565</v>
      </c>
      <c r="B568" s="6"/>
      <c r="C568" s="4"/>
      <c r="D568" s="7"/>
      <c r="E568" s="7"/>
      <c r="F568" s="23"/>
    </row>
    <row r="569">
      <c r="A569" s="9">
        <v>566</v>
      </c>
      <c r="B569" s="6"/>
      <c r="C569" s="4"/>
      <c r="D569" s="7"/>
      <c r="E569" s="7"/>
      <c r="F569" s="23"/>
    </row>
    <row r="570">
      <c r="A570" s="9">
        <v>567</v>
      </c>
      <c r="B570" s="6"/>
      <c r="C570" s="4"/>
      <c r="D570" s="7"/>
      <c r="E570" s="7"/>
      <c r="F570" s="23"/>
    </row>
    <row r="571">
      <c r="A571" s="9">
        <v>568</v>
      </c>
      <c r="B571" s="6"/>
      <c r="C571" s="4"/>
      <c r="D571" s="7"/>
      <c r="E571" s="7"/>
      <c r="F571" s="23"/>
    </row>
    <row r="572">
      <c r="A572" s="9">
        <v>569</v>
      </c>
      <c r="B572" s="6"/>
      <c r="C572" s="4"/>
      <c r="D572" s="7"/>
      <c r="E572" s="7"/>
      <c r="F572" s="23"/>
    </row>
    <row r="573">
      <c r="A573" s="9">
        <v>570</v>
      </c>
      <c r="B573" s="6"/>
      <c r="C573" s="4"/>
      <c r="D573" s="7"/>
      <c r="E573" s="7"/>
      <c r="F573" s="23"/>
    </row>
    <row r="574">
      <c r="A574" s="9">
        <v>571</v>
      </c>
      <c r="B574" s="6"/>
      <c r="C574" s="4"/>
      <c r="D574" s="7"/>
      <c r="E574" s="7"/>
      <c r="F574" s="23"/>
    </row>
    <row r="575">
      <c r="A575" s="9">
        <v>572</v>
      </c>
      <c r="B575" s="6"/>
      <c r="C575" s="4"/>
      <c r="D575" s="7"/>
      <c r="E575" s="7"/>
      <c r="F575" s="23"/>
    </row>
    <row r="576">
      <c r="A576" s="9">
        <v>573</v>
      </c>
      <c r="B576" s="6"/>
      <c r="C576" s="4"/>
      <c r="D576" s="7"/>
      <c r="E576" s="7"/>
      <c r="F576" s="23"/>
    </row>
    <row r="577">
      <c r="A577" s="9">
        <v>574</v>
      </c>
      <c r="B577" s="6"/>
      <c r="C577" s="4"/>
      <c r="D577" s="7"/>
      <c r="E577" s="7"/>
      <c r="F577" s="23"/>
    </row>
    <row r="578">
      <c r="A578" s="9">
        <v>575</v>
      </c>
      <c r="B578" s="6"/>
      <c r="C578" s="4"/>
      <c r="D578" s="7"/>
      <c r="E578" s="7"/>
      <c r="F578" s="23"/>
    </row>
    <row r="579">
      <c r="A579" s="9">
        <v>576</v>
      </c>
      <c r="B579" s="6"/>
      <c r="C579" s="4"/>
      <c r="D579" s="7"/>
      <c r="E579" s="7"/>
      <c r="F579" s="23"/>
    </row>
    <row r="580">
      <c r="A580" s="9">
        <v>577</v>
      </c>
      <c r="B580" s="6"/>
      <c r="C580" s="4"/>
      <c r="D580" s="7"/>
      <c r="E580" s="7"/>
      <c r="F580" s="23"/>
    </row>
    <row r="581">
      <c r="A581" s="9">
        <v>578</v>
      </c>
      <c r="B581" s="6"/>
      <c r="C581" s="4"/>
      <c r="D581" s="7"/>
      <c r="E581" s="7"/>
      <c r="F581" s="23"/>
    </row>
    <row r="582">
      <c r="A582" s="9">
        <v>579</v>
      </c>
      <c r="B582" s="6"/>
      <c r="C582" s="4"/>
      <c r="D582" s="7"/>
      <c r="E582" s="7"/>
      <c r="F582" s="23"/>
    </row>
    <row r="583">
      <c r="A583" s="9">
        <v>580</v>
      </c>
      <c r="B583" s="6"/>
      <c r="C583" s="4"/>
      <c r="D583" s="7"/>
      <c r="E583" s="7"/>
      <c r="F583" s="23"/>
    </row>
    <row r="584">
      <c r="A584" s="9">
        <v>581</v>
      </c>
      <c r="B584" s="6"/>
      <c r="C584" s="4"/>
      <c r="D584" s="7"/>
      <c r="E584" s="7"/>
      <c r="F584" s="23"/>
    </row>
    <row r="585">
      <c r="A585" s="9">
        <v>582</v>
      </c>
      <c r="B585" s="6"/>
      <c r="C585" s="4"/>
      <c r="D585" s="7"/>
      <c r="E585" s="7"/>
      <c r="F585" s="23"/>
    </row>
    <row r="586">
      <c r="A586" s="9">
        <v>583</v>
      </c>
      <c r="B586" s="6"/>
      <c r="C586" s="4"/>
      <c r="D586" s="7"/>
      <c r="E586" s="7"/>
      <c r="F586" s="23"/>
    </row>
    <row r="587">
      <c r="A587" s="9">
        <v>584</v>
      </c>
      <c r="B587" s="6"/>
      <c r="C587" s="4"/>
      <c r="D587" s="7"/>
      <c r="E587" s="7"/>
      <c r="F587" s="23"/>
    </row>
    <row r="588">
      <c r="A588" s="9">
        <v>585</v>
      </c>
      <c r="B588" s="6"/>
      <c r="C588" s="4"/>
      <c r="D588" s="7"/>
      <c r="E588" s="7"/>
      <c r="F588" s="23"/>
    </row>
    <row r="589">
      <c r="A589" s="9">
        <v>586</v>
      </c>
      <c r="B589" s="6"/>
      <c r="C589" s="4"/>
      <c r="D589" s="7"/>
      <c r="E589" s="7"/>
      <c r="F589" s="23"/>
    </row>
    <row r="590">
      <c r="A590" s="9">
        <v>587</v>
      </c>
      <c r="B590" s="6"/>
      <c r="C590" s="4"/>
      <c r="D590" s="7"/>
      <c r="E590" s="7"/>
      <c r="F590" s="23"/>
    </row>
    <row r="591">
      <c r="A591" s="9">
        <v>588</v>
      </c>
      <c r="B591" s="6"/>
      <c r="C591" s="4"/>
      <c r="D591" s="7"/>
      <c r="E591" s="7"/>
      <c r="F591" s="23"/>
    </row>
    <row r="592">
      <c r="A592" s="9">
        <v>589</v>
      </c>
      <c r="B592" s="6"/>
      <c r="C592" s="4"/>
      <c r="D592" s="7"/>
      <c r="E592" s="7"/>
      <c r="F592" s="23"/>
    </row>
    <row r="593">
      <c r="A593" s="9">
        <v>590</v>
      </c>
      <c r="B593" s="6"/>
      <c r="C593" s="4"/>
      <c r="D593" s="7"/>
      <c r="E593" s="7"/>
      <c r="F593" s="23"/>
    </row>
    <row r="594">
      <c r="A594" s="9">
        <v>591</v>
      </c>
      <c r="B594" s="6"/>
      <c r="C594" s="4"/>
      <c r="D594" s="7"/>
      <c r="E594" s="7"/>
      <c r="F594" s="23"/>
    </row>
    <row r="595">
      <c r="A595" s="9">
        <v>592</v>
      </c>
      <c r="B595" s="6"/>
      <c r="C595" s="4"/>
      <c r="D595" s="7"/>
      <c r="E595" s="7"/>
      <c r="F595" s="23"/>
    </row>
    <row r="596">
      <c r="A596" s="9">
        <v>593</v>
      </c>
      <c r="B596" s="6"/>
      <c r="C596" s="4"/>
      <c r="D596" s="7"/>
      <c r="E596" s="7"/>
      <c r="F596" s="23"/>
    </row>
    <row r="597">
      <c r="A597" s="9">
        <v>594</v>
      </c>
      <c r="B597" s="6"/>
      <c r="C597" s="4"/>
      <c r="D597" s="7"/>
      <c r="E597" s="7"/>
      <c r="F597" s="23"/>
    </row>
    <row r="598">
      <c r="A598" s="9">
        <v>595</v>
      </c>
      <c r="B598" s="6"/>
      <c r="C598" s="4"/>
      <c r="D598" s="7"/>
      <c r="E598" s="7"/>
      <c r="F598" s="23"/>
    </row>
    <row r="599">
      <c r="A599" s="9">
        <v>596</v>
      </c>
      <c r="B599" s="6"/>
      <c r="C599" s="4"/>
      <c r="D599" s="7"/>
      <c r="E599" s="7"/>
      <c r="F599" s="23"/>
    </row>
    <row r="600">
      <c r="A600" s="9">
        <v>597</v>
      </c>
      <c r="B600" s="6"/>
      <c r="C600" s="4"/>
      <c r="D600" s="7"/>
      <c r="E600" s="7"/>
      <c r="F600" s="23"/>
    </row>
    <row r="601">
      <c r="A601" s="9">
        <v>598</v>
      </c>
      <c r="B601" s="6"/>
      <c r="C601" s="4"/>
      <c r="D601" s="7"/>
      <c r="E601" s="7"/>
      <c r="F601" s="23"/>
    </row>
    <row r="602">
      <c r="A602" s="9">
        <v>599</v>
      </c>
      <c r="B602" s="6"/>
      <c r="C602" s="4"/>
      <c r="D602" s="7"/>
      <c r="E602" s="7"/>
      <c r="F602" s="23"/>
    </row>
    <row r="603">
      <c r="A603" s="9">
        <v>600</v>
      </c>
      <c r="B603" s="6"/>
      <c r="C603" s="4"/>
      <c r="D603" s="7"/>
      <c r="E603" s="7"/>
      <c r="F603" s="23"/>
    </row>
    <row r="604">
      <c r="A604" s="9">
        <v>601</v>
      </c>
      <c r="B604" s="6"/>
      <c r="C604" s="4"/>
      <c r="D604" s="7"/>
      <c r="E604" s="7"/>
      <c r="F604" s="23"/>
    </row>
    <row r="605">
      <c r="A605" s="9">
        <v>602</v>
      </c>
      <c r="B605" s="6"/>
      <c r="C605" s="4"/>
      <c r="D605" s="7"/>
      <c r="E605" s="7"/>
      <c r="F605" s="23"/>
    </row>
    <row r="606">
      <c r="A606" s="9">
        <v>603</v>
      </c>
      <c r="B606" s="6"/>
      <c r="C606" s="4"/>
      <c r="D606" s="7"/>
      <c r="E606" s="7"/>
      <c r="F606" s="23"/>
    </row>
    <row r="607">
      <c r="A607" s="9">
        <v>604</v>
      </c>
      <c r="B607" s="6"/>
      <c r="C607" s="4"/>
      <c r="D607" s="7"/>
      <c r="E607" s="7"/>
      <c r="F607" s="23"/>
    </row>
    <row r="608">
      <c r="A608" s="9">
        <v>605</v>
      </c>
      <c r="B608" s="6"/>
      <c r="C608" s="4"/>
      <c r="D608" s="7"/>
      <c r="E608" s="7"/>
      <c r="F608" s="23"/>
    </row>
    <row r="609">
      <c r="A609" s="9">
        <v>606</v>
      </c>
      <c r="B609" s="6"/>
      <c r="C609" s="4"/>
      <c r="D609" s="7"/>
      <c r="E609" s="7"/>
      <c r="F609" s="23"/>
    </row>
    <row r="610">
      <c r="A610" s="9">
        <v>607</v>
      </c>
      <c r="B610" s="6"/>
      <c r="C610" s="4"/>
      <c r="D610" s="7"/>
      <c r="E610" s="7"/>
      <c r="F610" s="23"/>
    </row>
    <row r="611">
      <c r="A611" s="9">
        <v>608</v>
      </c>
      <c r="B611" s="6"/>
      <c r="C611" s="4"/>
      <c r="D611" s="7"/>
      <c r="E611" s="7"/>
      <c r="F611" s="23"/>
    </row>
    <row r="612">
      <c r="A612" s="9">
        <v>609</v>
      </c>
      <c r="B612" s="6"/>
      <c r="C612" s="4"/>
      <c r="D612" s="7"/>
      <c r="E612" s="7"/>
      <c r="F612" s="23"/>
    </row>
    <row r="613">
      <c r="A613" s="9">
        <v>610</v>
      </c>
      <c r="B613" s="6"/>
      <c r="C613" s="4"/>
      <c r="D613" s="7"/>
      <c r="E613" s="7"/>
      <c r="F613" s="23"/>
    </row>
    <row r="614">
      <c r="A614" s="9">
        <v>611</v>
      </c>
      <c r="B614" s="6"/>
      <c r="C614" s="4"/>
      <c r="D614" s="7"/>
      <c r="E614" s="7"/>
      <c r="F614" s="23"/>
    </row>
    <row r="615">
      <c r="A615" s="9">
        <v>612</v>
      </c>
      <c r="B615" s="6"/>
      <c r="C615" s="4"/>
      <c r="D615" s="7"/>
      <c r="E615" s="7"/>
      <c r="F615" s="23"/>
    </row>
    <row r="616">
      <c r="A616" s="9">
        <v>613</v>
      </c>
      <c r="B616" s="6"/>
      <c r="C616" s="4"/>
      <c r="D616" s="7"/>
      <c r="E616" s="7"/>
      <c r="F616" s="23"/>
    </row>
    <row r="617">
      <c r="A617" s="9">
        <v>614</v>
      </c>
      <c r="B617" s="6"/>
      <c r="C617" s="4"/>
      <c r="D617" s="7"/>
      <c r="E617" s="7"/>
      <c r="F617" s="23"/>
    </row>
    <row r="618">
      <c r="A618" s="9">
        <v>615</v>
      </c>
      <c r="B618" s="6"/>
      <c r="C618" s="4"/>
      <c r="D618" s="7"/>
      <c r="E618" s="7"/>
      <c r="F618" s="23"/>
    </row>
    <row r="619">
      <c r="A619" s="9">
        <v>616</v>
      </c>
      <c r="B619" s="6"/>
      <c r="C619" s="4"/>
      <c r="D619" s="7"/>
      <c r="E619" s="7"/>
      <c r="F619" s="23"/>
    </row>
    <row r="620">
      <c r="A620" s="9">
        <v>617</v>
      </c>
      <c r="B620" s="6"/>
      <c r="C620" s="4"/>
      <c r="D620" s="7"/>
      <c r="E620" s="7"/>
      <c r="F620" s="23"/>
    </row>
    <row r="621">
      <c r="A621" s="9">
        <v>618</v>
      </c>
      <c r="B621" s="6"/>
      <c r="C621" s="4"/>
      <c r="D621" s="7"/>
      <c r="E621" s="7"/>
      <c r="F621" s="23"/>
    </row>
    <row r="622">
      <c r="A622" s="9">
        <v>619</v>
      </c>
      <c r="B622" s="6"/>
      <c r="C622" s="4"/>
      <c r="D622" s="7"/>
      <c r="E622" s="7"/>
      <c r="F622" s="23"/>
    </row>
    <row r="623">
      <c r="A623" s="9">
        <v>620</v>
      </c>
      <c r="B623" s="6"/>
      <c r="C623" s="4"/>
      <c r="D623" s="7"/>
      <c r="E623" s="7"/>
      <c r="F623" s="23"/>
    </row>
    <row r="624">
      <c r="A624" s="9">
        <v>621</v>
      </c>
      <c r="B624" s="6"/>
      <c r="C624" s="4"/>
      <c r="D624" s="7"/>
      <c r="E624" s="7"/>
      <c r="F624" s="23"/>
    </row>
    <row r="625">
      <c r="A625" s="9">
        <v>622</v>
      </c>
      <c r="B625" s="6"/>
      <c r="C625" s="4"/>
      <c r="D625" s="7"/>
      <c r="E625" s="7"/>
      <c r="F625" s="23"/>
    </row>
    <row r="626">
      <c r="A626" s="9">
        <v>623</v>
      </c>
      <c r="B626" s="6"/>
      <c r="C626" s="4"/>
      <c r="D626" s="7"/>
      <c r="E626" s="7"/>
      <c r="F626" s="23"/>
    </row>
    <row r="627">
      <c r="A627" s="9">
        <v>624</v>
      </c>
      <c r="B627" s="6"/>
      <c r="C627" s="4"/>
      <c r="D627" s="7"/>
      <c r="E627" s="7"/>
      <c r="F627" s="23"/>
    </row>
    <row r="628">
      <c r="A628" s="9">
        <v>625</v>
      </c>
      <c r="B628" s="6"/>
      <c r="C628" s="4"/>
      <c r="D628" s="7"/>
      <c r="E628" s="7"/>
      <c r="F628" s="23"/>
    </row>
    <row r="629">
      <c r="A629" s="9">
        <v>626</v>
      </c>
      <c r="B629" s="6"/>
      <c r="C629" s="4"/>
      <c r="D629" s="7"/>
      <c r="E629" s="7"/>
      <c r="F629" s="23"/>
    </row>
    <row r="630">
      <c r="A630" s="9">
        <v>627</v>
      </c>
      <c r="B630" s="6"/>
      <c r="C630" s="4"/>
      <c r="D630" s="7"/>
      <c r="E630" s="7"/>
      <c r="F630" s="23"/>
    </row>
    <row r="631">
      <c r="A631" s="9">
        <v>628</v>
      </c>
      <c r="B631" s="6"/>
      <c r="C631" s="4"/>
      <c r="D631" s="7"/>
      <c r="E631" s="7"/>
      <c r="F631" s="23"/>
    </row>
    <row r="632">
      <c r="A632" s="9">
        <v>629</v>
      </c>
      <c r="B632" s="6"/>
      <c r="C632" s="4"/>
      <c r="D632" s="7"/>
      <c r="E632" s="7"/>
      <c r="F632" s="23"/>
    </row>
    <row r="633">
      <c r="A633" s="9">
        <v>630</v>
      </c>
      <c r="B633" s="6"/>
      <c r="C633" s="4"/>
      <c r="D633" s="7"/>
      <c r="E633" s="7"/>
      <c r="F633" s="23"/>
    </row>
    <row r="634">
      <c r="A634" s="9">
        <v>631</v>
      </c>
      <c r="B634" s="6"/>
      <c r="C634" s="4"/>
      <c r="D634" s="7"/>
      <c r="E634" s="7"/>
      <c r="F634" s="23"/>
    </row>
    <row r="635">
      <c r="A635" s="9">
        <v>632</v>
      </c>
      <c r="B635" s="6"/>
      <c r="C635" s="4"/>
      <c r="D635" s="7"/>
      <c r="E635" s="7"/>
      <c r="F635" s="23"/>
    </row>
    <row r="636">
      <c r="A636" s="9">
        <v>633</v>
      </c>
      <c r="B636" s="6"/>
      <c r="C636" s="4"/>
      <c r="D636" s="7"/>
      <c r="E636" s="7"/>
      <c r="F636" s="23"/>
    </row>
    <row r="637">
      <c r="A637" s="9">
        <v>634</v>
      </c>
      <c r="B637" s="6"/>
      <c r="C637" s="4"/>
      <c r="D637" s="7"/>
      <c r="E637" s="7"/>
      <c r="F637" s="23"/>
    </row>
    <row r="638">
      <c r="A638" s="9">
        <v>635</v>
      </c>
      <c r="B638" s="6"/>
      <c r="C638" s="4"/>
      <c r="D638" s="7"/>
      <c r="E638" s="7"/>
      <c r="F638" s="23"/>
    </row>
    <row r="639">
      <c r="A639" s="9">
        <v>636</v>
      </c>
      <c r="B639" s="6"/>
      <c r="C639" s="4"/>
      <c r="D639" s="7"/>
      <c r="E639" s="7"/>
      <c r="F639" s="23"/>
    </row>
    <row r="640">
      <c r="A640" s="9">
        <v>637</v>
      </c>
      <c r="B640" s="6"/>
      <c r="C640" s="4"/>
      <c r="D640" s="7"/>
      <c r="E640" s="7"/>
      <c r="F640" s="23"/>
    </row>
    <row r="641">
      <c r="A641" s="9">
        <v>638</v>
      </c>
      <c r="B641" s="6"/>
      <c r="C641" s="4"/>
      <c r="D641" s="7"/>
      <c r="E641" s="7"/>
      <c r="F641" s="23"/>
    </row>
    <row r="642">
      <c r="A642" s="9">
        <v>639</v>
      </c>
      <c r="B642" s="6"/>
      <c r="C642" s="4"/>
      <c r="D642" s="7"/>
      <c r="E642" s="7"/>
      <c r="F642" s="23"/>
    </row>
    <row r="643">
      <c r="A643" s="9">
        <v>640</v>
      </c>
      <c r="B643" s="6"/>
      <c r="C643" s="4"/>
      <c r="D643" s="7"/>
      <c r="E643" s="7"/>
      <c r="F643" s="23"/>
    </row>
    <row r="644">
      <c r="A644" s="9">
        <v>641</v>
      </c>
      <c r="B644" s="6"/>
      <c r="C644" s="4"/>
      <c r="D644" s="7"/>
      <c r="E644" s="7"/>
      <c r="F644" s="23"/>
    </row>
    <row r="645">
      <c r="A645" s="9">
        <v>642</v>
      </c>
      <c r="B645" s="6"/>
      <c r="C645" s="4"/>
      <c r="D645" s="7"/>
      <c r="E645" s="7"/>
      <c r="F645" s="23"/>
    </row>
    <row r="646">
      <c r="A646" s="9">
        <v>643</v>
      </c>
      <c r="B646" s="6"/>
      <c r="C646" s="4"/>
      <c r="D646" s="7"/>
      <c r="E646" s="7"/>
      <c r="F646" s="23"/>
    </row>
    <row r="647">
      <c r="A647" s="9">
        <v>644</v>
      </c>
      <c r="B647" s="6"/>
      <c r="C647" s="4"/>
      <c r="D647" s="7"/>
      <c r="E647" s="7"/>
      <c r="F647" s="23"/>
    </row>
    <row r="648">
      <c r="A648" s="9">
        <v>645</v>
      </c>
      <c r="B648" s="6"/>
      <c r="C648" s="4"/>
      <c r="D648" s="7"/>
      <c r="E648" s="7"/>
      <c r="F648" s="23"/>
    </row>
    <row r="649">
      <c r="A649" s="9">
        <v>646</v>
      </c>
      <c r="B649" s="6"/>
      <c r="C649" s="4"/>
      <c r="D649" s="7"/>
      <c r="E649" s="7"/>
      <c r="F649" s="23"/>
    </row>
    <row r="650">
      <c r="A650" s="9">
        <v>647</v>
      </c>
      <c r="B650" s="6"/>
      <c r="C650" s="4"/>
      <c r="D650" s="7"/>
      <c r="E650" s="7"/>
      <c r="F650" s="23"/>
    </row>
    <row r="651">
      <c r="A651" s="9">
        <v>648</v>
      </c>
      <c r="B651" s="6"/>
      <c r="C651" s="4"/>
      <c r="D651" s="7"/>
      <c r="E651" s="7"/>
      <c r="F651" s="23"/>
    </row>
    <row r="652">
      <c r="A652" s="9">
        <v>649</v>
      </c>
      <c r="B652" s="6"/>
      <c r="C652" s="4"/>
      <c r="D652" s="7"/>
      <c r="E652" s="7"/>
      <c r="F652" s="23"/>
    </row>
    <row r="653">
      <c r="A653" s="9">
        <v>650</v>
      </c>
      <c r="B653" s="6"/>
      <c r="C653" s="4"/>
      <c r="D653" s="7"/>
      <c r="E653" s="7"/>
      <c r="F653" s="23"/>
    </row>
    <row r="654">
      <c r="A654" s="9">
        <v>651</v>
      </c>
      <c r="B654" s="6"/>
      <c r="C654" s="4"/>
      <c r="D654" s="7"/>
      <c r="E654" s="7"/>
      <c r="F654" s="23"/>
    </row>
    <row r="655">
      <c r="A655" s="9">
        <v>652</v>
      </c>
      <c r="B655" s="6"/>
      <c r="C655" s="4"/>
      <c r="D655" s="7"/>
      <c r="E655" s="7"/>
      <c r="F655" s="23"/>
    </row>
    <row r="656">
      <c r="A656" s="9">
        <v>653</v>
      </c>
      <c r="B656" s="6"/>
      <c r="C656" s="4"/>
      <c r="D656" s="7"/>
      <c r="E656" s="7"/>
      <c r="F656" s="23"/>
    </row>
    <row r="657">
      <c r="A657" s="9">
        <v>654</v>
      </c>
      <c r="B657" s="6"/>
      <c r="C657" s="4"/>
      <c r="D657" s="7"/>
      <c r="E657" s="7"/>
      <c r="F657" s="23"/>
    </row>
    <row r="658">
      <c r="A658" s="9">
        <v>655</v>
      </c>
      <c r="B658" s="6"/>
      <c r="C658" s="4"/>
      <c r="D658" s="7"/>
      <c r="E658" s="7"/>
      <c r="F658" s="23"/>
    </row>
    <row r="659">
      <c r="A659" s="9">
        <v>656</v>
      </c>
      <c r="B659" s="6"/>
      <c r="C659" s="4"/>
      <c r="D659" s="7"/>
      <c r="E659" s="7"/>
      <c r="F659" s="23"/>
    </row>
    <row r="660">
      <c r="A660" s="9">
        <v>657</v>
      </c>
      <c r="B660" s="6"/>
      <c r="C660" s="4"/>
      <c r="D660" s="7"/>
      <c r="E660" s="7"/>
      <c r="F660" s="23"/>
    </row>
    <row r="661">
      <c r="A661" s="9">
        <v>658</v>
      </c>
      <c r="B661" s="6"/>
      <c r="C661" s="4"/>
      <c r="D661" s="7"/>
      <c r="E661" s="7"/>
      <c r="F661" s="23"/>
    </row>
    <row r="662">
      <c r="A662" s="9">
        <v>659</v>
      </c>
      <c r="B662" s="6"/>
      <c r="C662" s="4"/>
      <c r="D662" s="7"/>
      <c r="E662" s="7"/>
      <c r="F662" s="23"/>
    </row>
    <row r="663">
      <c r="A663" s="9">
        <v>660</v>
      </c>
      <c r="B663" s="6"/>
      <c r="C663" s="4"/>
      <c r="D663" s="7"/>
      <c r="E663" s="7"/>
      <c r="F663" s="23"/>
    </row>
    <row r="664">
      <c r="A664" s="9">
        <v>661</v>
      </c>
      <c r="B664" s="6"/>
      <c r="C664" s="4"/>
      <c r="D664" s="7"/>
      <c r="E664" s="7"/>
      <c r="F664" s="23"/>
    </row>
    <row r="665">
      <c r="A665" s="9">
        <v>662</v>
      </c>
      <c r="B665" s="6"/>
      <c r="C665" s="4"/>
      <c r="D665" s="7"/>
      <c r="E665" s="7"/>
      <c r="F665" s="23"/>
    </row>
    <row r="666">
      <c r="A666" s="9">
        <v>663</v>
      </c>
      <c r="B666" s="6"/>
      <c r="C666" s="4"/>
      <c r="D666" s="7"/>
      <c r="E666" s="7"/>
      <c r="F666" s="23"/>
    </row>
    <row r="667">
      <c r="A667" s="9">
        <v>664</v>
      </c>
      <c r="B667" s="6"/>
      <c r="C667" s="4"/>
      <c r="D667" s="7"/>
      <c r="E667" s="7"/>
      <c r="F667" s="23"/>
    </row>
    <row r="668">
      <c r="A668" s="9">
        <v>665</v>
      </c>
      <c r="B668" s="6"/>
      <c r="C668" s="4"/>
      <c r="D668" s="7"/>
      <c r="E668" s="7"/>
      <c r="F668" s="23"/>
    </row>
    <row r="669">
      <c r="A669" s="9">
        <v>666</v>
      </c>
      <c r="B669" s="6"/>
      <c r="C669" s="4"/>
      <c r="D669" s="7"/>
      <c r="E669" s="7"/>
      <c r="F669" s="23"/>
    </row>
    <row r="670">
      <c r="A670" s="9">
        <v>667</v>
      </c>
      <c r="B670" s="6"/>
      <c r="C670" s="4"/>
      <c r="D670" s="7"/>
      <c r="E670" s="7"/>
      <c r="F670" s="23"/>
    </row>
    <row r="671">
      <c r="A671" s="9">
        <v>668</v>
      </c>
      <c r="B671" s="6"/>
      <c r="C671" s="4"/>
      <c r="D671" s="7"/>
      <c r="E671" s="7"/>
      <c r="F671" s="23"/>
    </row>
    <row r="672">
      <c r="A672" s="9">
        <v>669</v>
      </c>
      <c r="B672" s="6"/>
      <c r="C672" s="4"/>
      <c r="D672" s="7"/>
      <c r="E672" s="7"/>
      <c r="F672" s="23"/>
    </row>
    <row r="673">
      <c r="A673" s="9">
        <v>670</v>
      </c>
      <c r="B673" s="6"/>
      <c r="C673" s="4"/>
      <c r="D673" s="7"/>
      <c r="E673" s="7"/>
      <c r="F673" s="23"/>
    </row>
    <row r="674">
      <c r="A674" s="9">
        <v>671</v>
      </c>
      <c r="B674" s="6"/>
      <c r="C674" s="4"/>
      <c r="D674" s="7"/>
      <c r="E674" s="7"/>
      <c r="F674" s="23"/>
    </row>
    <row r="675">
      <c r="A675" s="9">
        <v>672</v>
      </c>
      <c r="B675" s="6"/>
      <c r="C675" s="4"/>
      <c r="D675" s="7"/>
      <c r="E675" s="7"/>
      <c r="F675" s="23"/>
    </row>
    <row r="676">
      <c r="A676" s="9">
        <v>673</v>
      </c>
      <c r="B676" s="6"/>
      <c r="C676" s="4"/>
      <c r="D676" s="7"/>
      <c r="E676" s="7"/>
      <c r="F676" s="23"/>
    </row>
    <row r="677">
      <c r="A677" s="9">
        <v>674</v>
      </c>
      <c r="B677" s="6"/>
      <c r="C677" s="4"/>
      <c r="D677" s="7"/>
      <c r="E677" s="7"/>
      <c r="F677" s="23"/>
    </row>
    <row r="678">
      <c r="A678" s="9">
        <v>675</v>
      </c>
      <c r="B678" s="6"/>
      <c r="C678" s="4"/>
      <c r="D678" s="7"/>
      <c r="E678" s="7"/>
      <c r="F678" s="23"/>
    </row>
    <row r="679">
      <c r="A679" s="9">
        <v>676</v>
      </c>
      <c r="B679" s="6"/>
      <c r="C679" s="4"/>
      <c r="D679" s="7"/>
      <c r="E679" s="7"/>
      <c r="F679" s="23"/>
    </row>
    <row r="680">
      <c r="A680" s="9">
        <v>677</v>
      </c>
      <c r="B680" s="6"/>
      <c r="C680" s="4"/>
      <c r="D680" s="7"/>
      <c r="E680" s="7"/>
      <c r="F680" s="23"/>
    </row>
    <row r="681">
      <c r="A681" s="9">
        <v>678</v>
      </c>
      <c r="B681" s="6"/>
      <c r="C681" s="4"/>
      <c r="D681" s="7"/>
      <c r="E681" s="7"/>
      <c r="F681" s="23"/>
    </row>
    <row r="682">
      <c r="A682" s="9">
        <v>679</v>
      </c>
      <c r="B682" s="6"/>
      <c r="C682" s="4"/>
      <c r="D682" s="7"/>
      <c r="E682" s="7"/>
      <c r="F682" s="23"/>
    </row>
    <row r="683">
      <c r="A683" s="9">
        <v>680</v>
      </c>
      <c r="B683" s="6"/>
      <c r="C683" s="4"/>
      <c r="D683" s="7"/>
      <c r="E683" s="7"/>
      <c r="F683" s="23"/>
    </row>
    <row r="684">
      <c r="A684" s="9">
        <v>681</v>
      </c>
      <c r="B684" s="6"/>
      <c r="C684" s="4"/>
      <c r="D684" s="7"/>
      <c r="E684" s="7"/>
      <c r="F684" s="23"/>
    </row>
    <row r="685">
      <c r="A685" s="9">
        <v>682</v>
      </c>
      <c r="B685" s="6"/>
      <c r="C685" s="4"/>
      <c r="D685" s="7"/>
      <c r="E685" s="7"/>
      <c r="F685" s="23"/>
    </row>
    <row r="686">
      <c r="A686" s="9">
        <v>683</v>
      </c>
      <c r="B686" s="6"/>
      <c r="C686" s="4"/>
      <c r="D686" s="7"/>
      <c r="E686" s="7"/>
      <c r="F686" s="23"/>
    </row>
    <row r="687">
      <c r="A687" s="9">
        <v>684</v>
      </c>
      <c r="B687" s="6"/>
      <c r="C687" s="4"/>
      <c r="D687" s="7"/>
      <c r="E687" s="7"/>
      <c r="F687" s="23"/>
    </row>
    <row r="688">
      <c r="A688" s="9">
        <v>685</v>
      </c>
      <c r="B688" s="6"/>
      <c r="C688" s="4"/>
      <c r="D688" s="7"/>
      <c r="E688" s="7"/>
      <c r="F688" s="23"/>
    </row>
    <row r="689">
      <c r="A689" s="9">
        <v>686</v>
      </c>
      <c r="B689" s="6"/>
      <c r="C689" s="4"/>
      <c r="D689" s="7"/>
      <c r="E689" s="7"/>
      <c r="F689" s="23"/>
    </row>
    <row r="690">
      <c r="A690" s="9">
        <v>687</v>
      </c>
      <c r="B690" s="6"/>
      <c r="C690" s="4"/>
      <c r="D690" s="7"/>
      <c r="E690" s="7"/>
      <c r="F690" s="23"/>
    </row>
    <row r="691">
      <c r="A691" s="9">
        <v>688</v>
      </c>
      <c r="B691" s="6"/>
      <c r="C691" s="4"/>
      <c r="D691" s="7"/>
      <c r="E691" s="7"/>
      <c r="F691" s="23"/>
    </row>
    <row r="692">
      <c r="A692" s="9">
        <v>689</v>
      </c>
      <c r="B692" s="6"/>
      <c r="C692" s="4"/>
      <c r="D692" s="7"/>
      <c r="E692" s="7"/>
      <c r="F692" s="23"/>
    </row>
    <row r="693">
      <c r="A693" s="9">
        <v>690</v>
      </c>
      <c r="B693" s="6"/>
      <c r="C693" s="4"/>
      <c r="D693" s="7"/>
      <c r="E693" s="7"/>
      <c r="F693" s="23"/>
    </row>
    <row r="694">
      <c r="A694" s="9">
        <v>691</v>
      </c>
      <c r="B694" s="6"/>
      <c r="C694" s="4"/>
      <c r="D694" s="7"/>
      <c r="E694" s="7"/>
      <c r="F694" s="23"/>
    </row>
    <row r="695">
      <c r="A695" s="9">
        <v>692</v>
      </c>
      <c r="B695" s="6"/>
      <c r="C695" s="4"/>
      <c r="D695" s="7"/>
      <c r="E695" s="7"/>
      <c r="F695" s="23"/>
    </row>
    <row r="696">
      <c r="A696" s="9">
        <v>693</v>
      </c>
      <c r="B696" s="6"/>
      <c r="C696" s="4"/>
      <c r="D696" s="7"/>
      <c r="E696" s="7"/>
      <c r="F696" s="23"/>
    </row>
    <row r="697">
      <c r="A697" s="9">
        <v>694</v>
      </c>
      <c r="B697" s="6"/>
      <c r="C697" s="4"/>
      <c r="D697" s="7"/>
      <c r="E697" s="7"/>
      <c r="F697" s="23"/>
    </row>
    <row r="698">
      <c r="A698" s="9">
        <v>695</v>
      </c>
      <c r="B698" s="6"/>
      <c r="C698" s="4"/>
      <c r="D698" s="7"/>
      <c r="E698" s="7"/>
      <c r="F698" s="23"/>
    </row>
    <row r="699">
      <c r="A699" s="9">
        <v>696</v>
      </c>
      <c r="B699" s="6"/>
      <c r="C699" s="4"/>
      <c r="D699" s="7"/>
      <c r="E699" s="7"/>
      <c r="F699" s="23"/>
    </row>
    <row r="700">
      <c r="A700" s="9">
        <v>697</v>
      </c>
      <c r="B700" s="6"/>
      <c r="C700" s="4"/>
      <c r="D700" s="7"/>
      <c r="E700" s="7"/>
      <c r="F700" s="23"/>
    </row>
    <row r="701">
      <c r="A701" s="9">
        <v>698</v>
      </c>
      <c r="B701" s="6"/>
      <c r="C701" s="4"/>
      <c r="D701" s="7"/>
      <c r="E701" s="7"/>
      <c r="F701" s="23"/>
    </row>
    <row r="702">
      <c r="A702" s="9">
        <v>699</v>
      </c>
      <c r="B702" s="6"/>
      <c r="C702" s="4"/>
      <c r="D702" s="7"/>
      <c r="E702" s="7"/>
      <c r="F702" s="23"/>
    </row>
    <row r="703">
      <c r="A703" s="9">
        <v>700</v>
      </c>
      <c r="B703" s="6"/>
      <c r="C703" s="4"/>
      <c r="D703" s="7"/>
      <c r="E703" s="7"/>
      <c r="F703" s="23"/>
    </row>
    <row r="704">
      <c r="A704" s="9">
        <v>701</v>
      </c>
      <c r="B704" s="6"/>
      <c r="C704" s="4"/>
      <c r="D704" s="7"/>
      <c r="E704" s="7"/>
      <c r="F704" s="23"/>
    </row>
    <row r="705">
      <c r="A705" s="9">
        <v>702</v>
      </c>
      <c r="B705" s="6"/>
      <c r="C705" s="4"/>
      <c r="D705" s="7"/>
      <c r="E705" s="7"/>
      <c r="F705" s="23"/>
    </row>
    <row r="706">
      <c r="A706" s="9">
        <v>703</v>
      </c>
      <c r="B706" s="6"/>
      <c r="C706" s="4"/>
      <c r="D706" s="7"/>
      <c r="E706" s="7"/>
      <c r="F706" s="23"/>
    </row>
    <row r="707">
      <c r="A707" s="9">
        <v>704</v>
      </c>
      <c r="B707" s="6"/>
      <c r="C707" s="4"/>
      <c r="D707" s="7"/>
      <c r="E707" s="7"/>
      <c r="F707" s="23"/>
    </row>
    <row r="708">
      <c r="A708" s="9">
        <v>705</v>
      </c>
      <c r="B708" s="6"/>
      <c r="C708" s="4"/>
      <c r="D708" s="7"/>
      <c r="E708" s="7"/>
      <c r="F708" s="23"/>
    </row>
    <row r="709">
      <c r="A709" s="9">
        <v>706</v>
      </c>
      <c r="B709" s="6"/>
      <c r="C709" s="4"/>
      <c r="D709" s="7"/>
      <c r="E709" s="7"/>
      <c r="F709" s="23"/>
    </row>
    <row r="710">
      <c r="A710" s="9">
        <v>707</v>
      </c>
      <c r="B710" s="6"/>
      <c r="C710" s="4"/>
      <c r="D710" s="7"/>
      <c r="E710" s="7"/>
      <c r="F710" s="23"/>
    </row>
    <row r="711">
      <c r="A711" s="9">
        <v>708</v>
      </c>
      <c r="B711" s="6"/>
      <c r="C711" s="4"/>
      <c r="D711" s="7"/>
      <c r="E711" s="7"/>
      <c r="F711" s="23"/>
    </row>
    <row r="712">
      <c r="A712" s="9">
        <v>709</v>
      </c>
      <c r="B712" s="6"/>
      <c r="C712" s="4"/>
      <c r="D712" s="7"/>
      <c r="E712" s="7"/>
      <c r="F712" s="23"/>
    </row>
    <row r="713">
      <c r="A713" s="9">
        <v>710</v>
      </c>
      <c r="B713" s="6"/>
      <c r="C713" s="4"/>
      <c r="D713" s="7"/>
      <c r="E713" s="7"/>
      <c r="F713" s="23"/>
    </row>
    <row r="714">
      <c r="A714" s="9">
        <v>711</v>
      </c>
      <c r="B714" s="6"/>
      <c r="C714" s="4"/>
      <c r="D714" s="7"/>
      <c r="E714" s="7"/>
      <c r="F714" s="23"/>
    </row>
    <row r="715">
      <c r="A715" s="9">
        <v>712</v>
      </c>
      <c r="B715" s="6"/>
      <c r="C715" s="4"/>
      <c r="D715" s="7"/>
      <c r="E715" s="7"/>
      <c r="F715" s="23"/>
    </row>
    <row r="716">
      <c r="A716" s="9">
        <v>713</v>
      </c>
      <c r="B716" s="6"/>
      <c r="C716" s="4"/>
      <c r="D716" s="7"/>
      <c r="E716" s="7"/>
      <c r="F716" s="23"/>
    </row>
    <row r="717">
      <c r="A717" s="9">
        <v>714</v>
      </c>
      <c r="B717" s="6"/>
      <c r="C717" s="4"/>
      <c r="D717" s="7"/>
      <c r="E717" s="7"/>
      <c r="F717" s="23"/>
    </row>
    <row r="718">
      <c r="A718" s="9">
        <v>715</v>
      </c>
      <c r="B718" s="6"/>
      <c r="C718" s="4"/>
      <c r="D718" s="7"/>
      <c r="E718" s="7"/>
      <c r="F718" s="23"/>
    </row>
    <row r="719">
      <c r="A719" s="9">
        <v>716</v>
      </c>
      <c r="B719" s="6"/>
      <c r="C719" s="4"/>
      <c r="D719" s="7"/>
      <c r="E719" s="7"/>
      <c r="F719" s="23"/>
    </row>
    <row r="720">
      <c r="A720" s="9">
        <v>717</v>
      </c>
      <c r="B720" s="6"/>
      <c r="C720" s="4"/>
      <c r="D720" s="7"/>
      <c r="E720" s="7"/>
      <c r="F720" s="23"/>
    </row>
    <row r="721">
      <c r="A721" s="9">
        <v>718</v>
      </c>
      <c r="B721" s="6"/>
      <c r="C721" s="4"/>
      <c r="D721" s="7"/>
      <c r="E721" s="7"/>
      <c r="F721" s="23"/>
    </row>
    <row r="722">
      <c r="A722" s="9">
        <v>719</v>
      </c>
      <c r="B722" s="6"/>
      <c r="C722" s="4"/>
      <c r="D722" s="7"/>
      <c r="E722" s="7"/>
      <c r="F722" s="23"/>
    </row>
    <row r="723">
      <c r="A723" s="9">
        <v>720</v>
      </c>
      <c r="B723" s="6"/>
      <c r="C723" s="4"/>
      <c r="D723" s="7"/>
      <c r="E723" s="7"/>
      <c r="F723" s="23"/>
    </row>
    <row r="724">
      <c r="A724" s="9">
        <v>721</v>
      </c>
      <c r="B724" s="6"/>
      <c r="C724" s="4"/>
      <c r="D724" s="7"/>
      <c r="E724" s="7"/>
      <c r="F724" s="23"/>
    </row>
    <row r="725">
      <c r="A725" s="9">
        <v>722</v>
      </c>
      <c r="B725" s="6"/>
      <c r="C725" s="4"/>
      <c r="D725" s="7"/>
      <c r="E725" s="7"/>
      <c r="F725" s="23"/>
    </row>
    <row r="726">
      <c r="A726" s="9">
        <v>723</v>
      </c>
      <c r="B726" s="6"/>
      <c r="C726" s="4"/>
      <c r="D726" s="7"/>
      <c r="E726" s="7"/>
      <c r="F726" s="23"/>
    </row>
    <row r="727">
      <c r="A727" s="9">
        <v>724</v>
      </c>
      <c r="B727" s="6"/>
      <c r="C727" s="4"/>
      <c r="D727" s="7"/>
      <c r="E727" s="7"/>
      <c r="F727" s="23"/>
    </row>
    <row r="728">
      <c r="A728" s="9">
        <v>725</v>
      </c>
      <c r="B728" s="6"/>
      <c r="C728" s="4"/>
      <c r="D728" s="7"/>
      <c r="E728" s="7"/>
      <c r="F728" s="23"/>
    </row>
    <row r="729">
      <c r="A729" s="9">
        <v>726</v>
      </c>
      <c r="B729" s="6"/>
      <c r="C729" s="4"/>
      <c r="D729" s="7"/>
      <c r="E729" s="7"/>
      <c r="F729" s="23"/>
    </row>
    <row r="730">
      <c r="A730" s="9">
        <v>727</v>
      </c>
      <c r="B730" s="6"/>
      <c r="C730" s="4"/>
      <c r="D730" s="7"/>
      <c r="E730" s="7"/>
      <c r="F730" s="23"/>
    </row>
    <row r="731">
      <c r="A731" s="9">
        <v>728</v>
      </c>
      <c r="B731" s="6"/>
      <c r="C731" s="4"/>
      <c r="D731" s="7"/>
      <c r="E731" s="7"/>
      <c r="F731" s="23"/>
    </row>
    <row r="732">
      <c r="A732" s="9">
        <v>729</v>
      </c>
      <c r="B732" s="6"/>
      <c r="C732" s="4"/>
      <c r="D732" s="7"/>
      <c r="E732" s="7"/>
      <c r="F732" s="23"/>
    </row>
    <row r="733">
      <c r="A733" s="9">
        <v>730</v>
      </c>
      <c r="B733" s="6"/>
      <c r="C733" s="4"/>
      <c r="D733" s="7"/>
      <c r="E733" s="7"/>
      <c r="F733" s="23"/>
    </row>
    <row r="734">
      <c r="A734" s="9">
        <v>731</v>
      </c>
      <c r="B734" s="6"/>
      <c r="C734" s="4"/>
      <c r="D734" s="7"/>
      <c r="E734" s="7"/>
      <c r="F734" s="23"/>
    </row>
    <row r="735">
      <c r="A735" s="9">
        <v>732</v>
      </c>
      <c r="B735" s="6"/>
      <c r="C735" s="4"/>
      <c r="D735" s="7"/>
      <c r="E735" s="7"/>
      <c r="F735" s="23"/>
    </row>
    <row r="736">
      <c r="A736" s="9">
        <v>733</v>
      </c>
      <c r="B736" s="6"/>
      <c r="C736" s="4"/>
      <c r="D736" s="7"/>
      <c r="E736" s="7"/>
      <c r="F736" s="23"/>
    </row>
    <row r="737">
      <c r="A737" s="9">
        <v>734</v>
      </c>
      <c r="B737" s="6"/>
      <c r="C737" s="4"/>
      <c r="D737" s="7"/>
      <c r="E737" s="7"/>
      <c r="F737" s="23"/>
    </row>
    <row r="738">
      <c r="A738" s="9">
        <v>735</v>
      </c>
      <c r="B738" s="6"/>
      <c r="C738" s="4"/>
      <c r="D738" s="7"/>
      <c r="E738" s="7"/>
      <c r="F738" s="23"/>
    </row>
    <row r="739">
      <c r="A739" s="9">
        <v>736</v>
      </c>
      <c r="B739" s="6"/>
      <c r="C739" s="4"/>
      <c r="D739" s="7"/>
      <c r="E739" s="7"/>
      <c r="F739" s="23"/>
    </row>
    <row r="740">
      <c r="A740" s="9">
        <v>737</v>
      </c>
      <c r="B740" s="6"/>
      <c r="C740" s="4"/>
      <c r="D740" s="7"/>
      <c r="E740" s="7"/>
      <c r="F740" s="23"/>
    </row>
    <row r="741">
      <c r="A741" s="9">
        <v>738</v>
      </c>
      <c r="B741" s="6"/>
      <c r="C741" s="4"/>
      <c r="D741" s="7"/>
      <c r="E741" s="7"/>
      <c r="F741" s="23"/>
    </row>
    <row r="742">
      <c r="A742" s="9">
        <v>739</v>
      </c>
      <c r="B742" s="6"/>
      <c r="C742" s="4"/>
      <c r="D742" s="7"/>
      <c r="E742" s="7"/>
      <c r="F742" s="23"/>
    </row>
    <row r="743">
      <c r="A743" s="9">
        <v>740</v>
      </c>
      <c r="B743" s="6"/>
      <c r="C743" s="4"/>
      <c r="D743" s="7"/>
      <c r="E743" s="7"/>
      <c r="F743" s="23"/>
    </row>
    <row r="744">
      <c r="A744" s="9">
        <v>741</v>
      </c>
      <c r="B744" s="6"/>
      <c r="C744" s="4"/>
      <c r="D744" s="7"/>
      <c r="E744" s="7"/>
      <c r="F744" s="23"/>
    </row>
    <row r="745">
      <c r="A745" s="9">
        <v>742</v>
      </c>
      <c r="B745" s="6"/>
      <c r="C745" s="4"/>
      <c r="D745" s="7"/>
      <c r="E745" s="7"/>
      <c r="F745" s="23"/>
    </row>
    <row r="746">
      <c r="A746" s="9">
        <v>743</v>
      </c>
      <c r="B746" s="6"/>
      <c r="C746" s="4"/>
      <c r="D746" s="7"/>
      <c r="E746" s="7"/>
      <c r="F746" s="23"/>
    </row>
    <row r="747">
      <c r="A747" s="9">
        <v>744</v>
      </c>
      <c r="B747" s="6"/>
      <c r="C747" s="4"/>
      <c r="D747" s="7"/>
      <c r="E747" s="7"/>
      <c r="F747" s="23"/>
    </row>
    <row r="748">
      <c r="A748" s="9">
        <v>745</v>
      </c>
      <c r="B748" s="6"/>
      <c r="C748" s="4"/>
      <c r="D748" s="7"/>
      <c r="E748" s="7"/>
      <c r="F748" s="23"/>
    </row>
    <row r="749">
      <c r="A749" s="9">
        <v>746</v>
      </c>
      <c r="B749" s="6"/>
      <c r="C749" s="4"/>
      <c r="D749" s="7"/>
      <c r="E749" s="7"/>
      <c r="F749" s="23"/>
    </row>
    <row r="750">
      <c r="A750" s="9">
        <v>747</v>
      </c>
      <c r="B750" s="6"/>
      <c r="C750" s="4"/>
      <c r="D750" s="7"/>
      <c r="E750" s="7"/>
      <c r="F750" s="23"/>
    </row>
    <row r="751">
      <c r="A751" s="9">
        <v>748</v>
      </c>
      <c r="B751" s="6"/>
      <c r="C751" s="4"/>
      <c r="D751" s="7"/>
      <c r="E751" s="7"/>
      <c r="F751" s="23"/>
    </row>
    <row r="752">
      <c r="A752" s="9">
        <v>749</v>
      </c>
      <c r="B752" s="6"/>
      <c r="C752" s="4"/>
      <c r="D752" s="7"/>
      <c r="E752" s="7"/>
      <c r="F752" s="23"/>
    </row>
    <row r="753">
      <c r="A753" s="9">
        <v>750</v>
      </c>
      <c r="B753" s="6"/>
      <c r="C753" s="4"/>
      <c r="D753" s="7"/>
      <c r="E753" s="7"/>
      <c r="F753" s="23"/>
    </row>
    <row r="754">
      <c r="A754" s="9">
        <v>751</v>
      </c>
      <c r="B754" s="6"/>
      <c r="C754" s="4"/>
      <c r="D754" s="7"/>
      <c r="E754" s="7"/>
      <c r="F754" s="23"/>
    </row>
    <row r="755">
      <c r="A755" s="9">
        <v>752</v>
      </c>
      <c r="B755" s="6"/>
      <c r="C755" s="4"/>
      <c r="D755" s="7"/>
      <c r="E755" s="7"/>
      <c r="F755" s="23"/>
    </row>
    <row r="756">
      <c r="A756" s="9">
        <v>753</v>
      </c>
      <c r="B756" s="6"/>
      <c r="C756" s="4"/>
      <c r="D756" s="7"/>
      <c r="E756" s="7"/>
      <c r="F756" s="23"/>
    </row>
    <row r="757">
      <c r="A757" s="9">
        <v>754</v>
      </c>
      <c r="B757" s="6"/>
      <c r="C757" s="4"/>
      <c r="D757" s="7"/>
      <c r="E757" s="7"/>
      <c r="F757" s="23"/>
    </row>
    <row r="758">
      <c r="A758" s="9">
        <v>755</v>
      </c>
      <c r="B758" s="6"/>
      <c r="C758" s="4"/>
      <c r="D758" s="7"/>
      <c r="E758" s="7"/>
      <c r="F758" s="23"/>
    </row>
    <row r="759">
      <c r="A759" s="9">
        <v>756</v>
      </c>
      <c r="B759" s="6"/>
      <c r="C759" s="4"/>
      <c r="D759" s="7"/>
      <c r="E759" s="7"/>
      <c r="F759" s="23"/>
    </row>
    <row r="760">
      <c r="A760" s="9">
        <v>757</v>
      </c>
      <c r="B760" s="6"/>
      <c r="C760" s="4"/>
      <c r="D760" s="7"/>
      <c r="E760" s="7"/>
      <c r="F760" s="23"/>
    </row>
    <row r="761">
      <c r="A761" s="9">
        <v>758</v>
      </c>
      <c r="B761" s="6"/>
      <c r="C761" s="4"/>
      <c r="D761" s="7"/>
      <c r="E761" s="7"/>
      <c r="F761" s="23"/>
    </row>
    <row r="762">
      <c r="A762" s="9">
        <v>759</v>
      </c>
      <c r="B762" s="6"/>
      <c r="C762" s="4"/>
      <c r="D762" s="7"/>
      <c r="E762" s="7"/>
      <c r="F762" s="23"/>
    </row>
    <row r="763">
      <c r="A763" s="9">
        <v>760</v>
      </c>
      <c r="B763" s="6"/>
      <c r="C763" s="4"/>
      <c r="D763" s="7"/>
      <c r="E763" s="7"/>
      <c r="F763" s="23"/>
    </row>
    <row r="764">
      <c r="A764" s="9">
        <v>761</v>
      </c>
      <c r="B764" s="6"/>
      <c r="C764" s="4"/>
      <c r="D764" s="7"/>
      <c r="E764" s="7"/>
      <c r="F764" s="23"/>
    </row>
    <row r="765">
      <c r="A765" s="9">
        <v>762</v>
      </c>
      <c r="B765" s="6"/>
      <c r="C765" s="4"/>
      <c r="D765" s="7"/>
      <c r="E765" s="7"/>
      <c r="F765" s="23"/>
    </row>
    <row r="766">
      <c r="A766" s="9">
        <v>763</v>
      </c>
      <c r="B766" s="6"/>
      <c r="C766" s="4"/>
      <c r="D766" s="7"/>
      <c r="E766" s="7"/>
      <c r="F766" s="23"/>
    </row>
    <row r="767">
      <c r="A767" s="9">
        <v>764</v>
      </c>
      <c r="B767" s="6"/>
      <c r="C767" s="4"/>
      <c r="D767" s="7"/>
      <c r="E767" s="7"/>
      <c r="F767" s="23"/>
    </row>
    <row r="768">
      <c r="A768" s="9">
        <v>765</v>
      </c>
      <c r="B768" s="6"/>
      <c r="C768" s="4"/>
      <c r="D768" s="7"/>
      <c r="E768" s="7"/>
      <c r="F768" s="23"/>
    </row>
    <row r="769">
      <c r="A769" s="9">
        <v>766</v>
      </c>
      <c r="B769" s="6"/>
      <c r="C769" s="4"/>
      <c r="D769" s="7"/>
      <c r="E769" s="7"/>
      <c r="F769" s="23"/>
    </row>
    <row r="770">
      <c r="A770" s="9">
        <v>767</v>
      </c>
      <c r="B770" s="6"/>
      <c r="C770" s="4"/>
      <c r="D770" s="7"/>
      <c r="E770" s="7"/>
      <c r="F770" s="23"/>
    </row>
    <row r="771">
      <c r="A771" s="9">
        <v>768</v>
      </c>
      <c r="B771" s="6"/>
      <c r="C771" s="4"/>
      <c r="D771" s="7"/>
      <c r="E771" s="7"/>
      <c r="F771" s="23"/>
    </row>
    <row r="772">
      <c r="A772" s="9">
        <v>769</v>
      </c>
      <c r="B772" s="6"/>
      <c r="C772" s="4"/>
      <c r="D772" s="7"/>
      <c r="E772" s="7"/>
      <c r="F772" s="23"/>
    </row>
    <row r="773">
      <c r="A773" s="9">
        <v>770</v>
      </c>
      <c r="B773" s="6"/>
      <c r="C773" s="4"/>
      <c r="D773" s="7"/>
      <c r="E773" s="7"/>
      <c r="F773" s="23"/>
    </row>
    <row r="774">
      <c r="A774" s="9">
        <v>771</v>
      </c>
      <c r="B774" s="6"/>
      <c r="C774" s="4"/>
      <c r="D774" s="7"/>
      <c r="E774" s="7"/>
      <c r="F774" s="23"/>
    </row>
    <row r="775">
      <c r="A775" s="9">
        <v>772</v>
      </c>
      <c r="B775" s="6"/>
      <c r="C775" s="4"/>
      <c r="D775" s="7"/>
      <c r="E775" s="7"/>
      <c r="F775" s="23"/>
    </row>
    <row r="776">
      <c r="A776" s="9">
        <v>773</v>
      </c>
      <c r="B776" s="6"/>
      <c r="C776" s="4"/>
      <c r="D776" s="7"/>
      <c r="E776" s="7"/>
      <c r="F776" s="23"/>
    </row>
    <row r="777">
      <c r="A777" s="9">
        <v>774</v>
      </c>
      <c r="B777" s="6"/>
      <c r="C777" s="4"/>
      <c r="D777" s="7"/>
      <c r="E777" s="7"/>
      <c r="F777" s="23"/>
    </row>
    <row r="778">
      <c r="A778" s="9">
        <v>775</v>
      </c>
      <c r="B778" s="6"/>
      <c r="C778" s="4"/>
      <c r="D778" s="7"/>
      <c r="E778" s="7"/>
      <c r="F778" s="23"/>
    </row>
    <row r="779">
      <c r="A779" s="9">
        <v>776</v>
      </c>
      <c r="B779" s="6"/>
      <c r="C779" s="4"/>
      <c r="D779" s="7"/>
      <c r="E779" s="7"/>
      <c r="F779" s="23"/>
    </row>
    <row r="780">
      <c r="A780" s="9">
        <v>777</v>
      </c>
      <c r="B780" s="6"/>
      <c r="C780" s="4"/>
      <c r="D780" s="7"/>
      <c r="E780" s="7"/>
      <c r="F780" s="23"/>
    </row>
    <row r="781">
      <c r="A781" s="9">
        <v>778</v>
      </c>
      <c r="B781" s="6"/>
      <c r="C781" s="4"/>
      <c r="D781" s="7"/>
      <c r="E781" s="7"/>
      <c r="F781" s="23"/>
    </row>
    <row r="782">
      <c r="A782" s="9">
        <v>779</v>
      </c>
      <c r="B782" s="6"/>
      <c r="C782" s="4"/>
      <c r="D782" s="7"/>
      <c r="E782" s="7"/>
      <c r="F782" s="23"/>
    </row>
    <row r="783">
      <c r="A783" s="9">
        <v>780</v>
      </c>
      <c r="B783" s="6"/>
      <c r="C783" s="4"/>
      <c r="D783" s="7"/>
      <c r="E783" s="7"/>
      <c r="F783" s="23"/>
    </row>
    <row r="784">
      <c r="A784" s="9">
        <v>781</v>
      </c>
      <c r="B784" s="6"/>
      <c r="C784" s="4"/>
      <c r="D784" s="7"/>
      <c r="E784" s="7"/>
      <c r="F784" s="23"/>
    </row>
    <row r="785">
      <c r="A785" s="9">
        <v>782</v>
      </c>
      <c r="B785" s="6"/>
      <c r="C785" s="4"/>
      <c r="D785" s="7"/>
      <c r="E785" s="7"/>
      <c r="F785" s="23"/>
    </row>
    <row r="786">
      <c r="A786" s="9">
        <v>783</v>
      </c>
      <c r="B786" s="6"/>
      <c r="C786" s="4"/>
      <c r="D786" s="7"/>
      <c r="E786" s="7"/>
      <c r="F786" s="23"/>
    </row>
    <row r="787">
      <c r="A787" s="9">
        <v>784</v>
      </c>
      <c r="B787" s="6"/>
      <c r="C787" s="4"/>
      <c r="D787" s="7"/>
      <c r="E787" s="7"/>
      <c r="F787" s="23"/>
    </row>
    <row r="788">
      <c r="A788" s="9">
        <v>785</v>
      </c>
      <c r="B788" s="6"/>
      <c r="C788" s="4"/>
      <c r="D788" s="7"/>
      <c r="E788" s="7"/>
      <c r="F788" s="23"/>
    </row>
    <row r="789">
      <c r="A789" s="9">
        <v>786</v>
      </c>
      <c r="B789" s="6"/>
      <c r="C789" s="4"/>
      <c r="D789" s="7"/>
      <c r="E789" s="7"/>
      <c r="F789" s="23"/>
    </row>
    <row r="790">
      <c r="A790" s="9">
        <v>787</v>
      </c>
      <c r="B790" s="6"/>
      <c r="C790" s="4"/>
      <c r="D790" s="7"/>
      <c r="E790" s="7"/>
      <c r="F790" s="23"/>
    </row>
    <row r="791">
      <c r="A791" s="9">
        <v>788</v>
      </c>
      <c r="B791" s="6"/>
      <c r="C791" s="4"/>
      <c r="D791" s="7"/>
      <c r="E791" s="7"/>
      <c r="F791" s="23"/>
    </row>
    <row r="792">
      <c r="A792" s="9">
        <v>789</v>
      </c>
      <c r="B792" s="6"/>
      <c r="C792" s="4"/>
      <c r="D792" s="7"/>
      <c r="E792" s="7"/>
      <c r="F792" s="23"/>
    </row>
    <row r="793">
      <c r="A793" s="9">
        <v>790</v>
      </c>
      <c r="B793" s="6"/>
      <c r="C793" s="4"/>
      <c r="D793" s="7"/>
      <c r="E793" s="7"/>
      <c r="F793" s="23"/>
    </row>
    <row r="794">
      <c r="A794" s="9">
        <v>791</v>
      </c>
      <c r="B794" s="6"/>
      <c r="C794" s="4"/>
      <c r="D794" s="7"/>
      <c r="E794" s="7"/>
      <c r="F794" s="23"/>
    </row>
    <row r="795">
      <c r="A795" s="9">
        <v>792</v>
      </c>
      <c r="B795" s="6"/>
      <c r="C795" s="4"/>
      <c r="D795" s="7"/>
      <c r="E795" s="7"/>
      <c r="F795" s="23"/>
    </row>
    <row r="796">
      <c r="A796" s="9">
        <v>793</v>
      </c>
      <c r="B796" s="6"/>
      <c r="C796" s="4"/>
      <c r="D796" s="7"/>
      <c r="E796" s="7"/>
      <c r="F796" s="23"/>
    </row>
    <row r="797">
      <c r="A797" s="9">
        <v>794</v>
      </c>
      <c r="B797" s="6"/>
      <c r="C797" s="4"/>
      <c r="D797" s="7"/>
      <c r="E797" s="7"/>
      <c r="F797" s="23"/>
    </row>
    <row r="798">
      <c r="A798" s="9">
        <v>795</v>
      </c>
      <c r="B798" s="6"/>
      <c r="C798" s="4"/>
      <c r="D798" s="7"/>
      <c r="E798" s="7"/>
      <c r="F798" s="23"/>
    </row>
    <row r="799">
      <c r="A799" s="9">
        <v>796</v>
      </c>
      <c r="B799" s="6"/>
      <c r="C799" s="4"/>
      <c r="D799" s="7"/>
      <c r="E799" s="7"/>
      <c r="F799" s="23"/>
    </row>
    <row r="800">
      <c r="A800" s="9">
        <v>797</v>
      </c>
      <c r="B800" s="6"/>
      <c r="C800" s="4"/>
      <c r="D800" s="7"/>
      <c r="E800" s="7"/>
      <c r="F800" s="23"/>
    </row>
    <row r="801">
      <c r="A801" s="9">
        <v>798</v>
      </c>
      <c r="B801" s="6"/>
      <c r="C801" s="4"/>
      <c r="D801" s="7"/>
      <c r="E801" s="7"/>
      <c r="F801" s="23"/>
    </row>
    <row r="802">
      <c r="A802" s="9">
        <v>799</v>
      </c>
      <c r="B802" s="6"/>
      <c r="C802" s="4"/>
      <c r="D802" s="7"/>
      <c r="E802" s="7"/>
      <c r="F802" s="23"/>
    </row>
    <row r="803">
      <c r="A803" s="9">
        <v>800</v>
      </c>
      <c r="B803" s="6"/>
      <c r="C803" s="4"/>
      <c r="D803" s="7"/>
      <c r="E803" s="7"/>
      <c r="F803" s="23"/>
    </row>
    <row r="804">
      <c r="A804" s="9">
        <v>801</v>
      </c>
      <c r="B804" s="6"/>
      <c r="C804" s="4"/>
      <c r="D804" s="7"/>
      <c r="E804" s="7"/>
      <c r="F804" s="23"/>
    </row>
    <row r="805">
      <c r="A805" s="9">
        <v>802</v>
      </c>
      <c r="B805" s="6"/>
      <c r="C805" s="4"/>
      <c r="D805" s="7"/>
      <c r="E805" s="7"/>
      <c r="F805" s="23"/>
    </row>
    <row r="806">
      <c r="A806" s="9">
        <v>803</v>
      </c>
      <c r="B806" s="6"/>
      <c r="C806" s="4"/>
      <c r="D806" s="7"/>
      <c r="E806" s="7"/>
      <c r="F806" s="23"/>
    </row>
    <row r="807">
      <c r="A807" s="9">
        <v>804</v>
      </c>
      <c r="B807" s="6"/>
      <c r="C807" s="4"/>
      <c r="D807" s="7"/>
      <c r="E807" s="7"/>
      <c r="F807" s="23"/>
    </row>
    <row r="808">
      <c r="A808" s="9">
        <v>805</v>
      </c>
      <c r="B808" s="6"/>
      <c r="C808" s="4"/>
      <c r="D808" s="7"/>
      <c r="E808" s="7"/>
      <c r="F808" s="23"/>
    </row>
    <row r="809">
      <c r="A809" s="9">
        <v>806</v>
      </c>
      <c r="B809" s="6"/>
      <c r="C809" s="4"/>
      <c r="D809" s="7"/>
      <c r="E809" s="7"/>
      <c r="F809" s="23"/>
    </row>
    <row r="810">
      <c r="A810" s="9">
        <v>807</v>
      </c>
      <c r="B810" s="6"/>
      <c r="C810" s="4"/>
      <c r="D810" s="7"/>
      <c r="E810" s="7"/>
      <c r="F810" s="23"/>
    </row>
    <row r="811">
      <c r="A811" s="9">
        <v>808</v>
      </c>
      <c r="B811" s="6"/>
      <c r="C811" s="4"/>
      <c r="D811" s="7"/>
      <c r="E811" s="7"/>
      <c r="F811" s="23"/>
    </row>
    <row r="812">
      <c r="A812" s="9">
        <v>809</v>
      </c>
      <c r="B812" s="6"/>
      <c r="C812" s="4"/>
      <c r="D812" s="7"/>
      <c r="E812" s="7"/>
      <c r="F812" s="23"/>
    </row>
    <row r="813">
      <c r="A813" s="9">
        <v>810</v>
      </c>
      <c r="B813" s="6"/>
      <c r="C813" s="4"/>
      <c r="D813" s="7"/>
      <c r="E813" s="7"/>
      <c r="F813" s="23"/>
    </row>
    <row r="814">
      <c r="A814" s="9">
        <v>811</v>
      </c>
      <c r="B814" s="6"/>
      <c r="C814" s="4"/>
      <c r="D814" s="7"/>
      <c r="E814" s="7"/>
      <c r="F814" s="23"/>
    </row>
    <row r="815">
      <c r="A815" s="9">
        <v>812</v>
      </c>
      <c r="B815" s="6"/>
      <c r="C815" s="4"/>
      <c r="D815" s="7"/>
      <c r="E815" s="7"/>
      <c r="F815" s="23"/>
    </row>
    <row r="816">
      <c r="A816" s="9">
        <v>813</v>
      </c>
      <c r="B816" s="6"/>
      <c r="C816" s="4"/>
      <c r="D816" s="7"/>
      <c r="E816" s="7"/>
      <c r="F816" s="23"/>
    </row>
    <row r="817">
      <c r="A817" s="9">
        <v>814</v>
      </c>
      <c r="B817" s="6"/>
      <c r="C817" s="4"/>
      <c r="D817" s="7"/>
      <c r="E817" s="7"/>
      <c r="F817" s="23"/>
    </row>
    <row r="818">
      <c r="A818" s="9">
        <v>815</v>
      </c>
      <c r="B818" s="6"/>
      <c r="C818" s="4"/>
      <c r="D818" s="7"/>
      <c r="E818" s="7"/>
      <c r="F818" s="23"/>
    </row>
    <row r="819">
      <c r="A819" s="9">
        <v>816</v>
      </c>
      <c r="B819" s="6"/>
      <c r="C819" s="4"/>
      <c r="D819" s="7"/>
      <c r="E819" s="7"/>
      <c r="F819" s="23"/>
    </row>
    <row r="820">
      <c r="A820" s="9">
        <v>817</v>
      </c>
      <c r="B820" s="6"/>
      <c r="C820" s="4"/>
      <c r="D820" s="7"/>
      <c r="E820" s="7"/>
      <c r="F820" s="23"/>
    </row>
    <row r="821">
      <c r="A821" s="9">
        <v>818</v>
      </c>
      <c r="B821" s="6"/>
      <c r="C821" s="4"/>
      <c r="D821" s="7"/>
      <c r="E821" s="7"/>
      <c r="F821" s="23"/>
    </row>
    <row r="822">
      <c r="A822" s="9">
        <v>819</v>
      </c>
      <c r="B822" s="6"/>
      <c r="C822" s="4"/>
      <c r="D822" s="7"/>
      <c r="E822" s="7"/>
      <c r="F822" s="23"/>
    </row>
    <row r="823">
      <c r="A823" s="9">
        <v>820</v>
      </c>
      <c r="B823" s="6"/>
      <c r="C823" s="4"/>
      <c r="D823" s="7"/>
      <c r="E823" s="7"/>
      <c r="F823" s="23"/>
    </row>
    <row r="824">
      <c r="A824" s="9">
        <v>821</v>
      </c>
      <c r="B824" s="6"/>
      <c r="C824" s="4"/>
      <c r="D824" s="7"/>
      <c r="E824" s="7"/>
      <c r="F824" s="23"/>
    </row>
    <row r="825">
      <c r="A825" s="9">
        <v>822</v>
      </c>
      <c r="B825" s="6"/>
      <c r="C825" s="4"/>
      <c r="D825" s="7"/>
      <c r="E825" s="7"/>
      <c r="F825" s="23"/>
    </row>
    <row r="826">
      <c r="A826" s="9">
        <v>823</v>
      </c>
      <c r="B826" s="6"/>
      <c r="C826" s="4"/>
      <c r="D826" s="7"/>
      <c r="E826" s="7"/>
      <c r="F826" s="23"/>
    </row>
    <row r="827">
      <c r="A827" s="9">
        <v>824</v>
      </c>
      <c r="B827" s="6"/>
      <c r="C827" s="4"/>
      <c r="D827" s="7"/>
      <c r="E827" s="7"/>
      <c r="F827" s="23"/>
    </row>
    <row r="828">
      <c r="A828" s="9">
        <v>825</v>
      </c>
      <c r="B828" s="6"/>
      <c r="C828" s="4"/>
      <c r="D828" s="7"/>
      <c r="E828" s="7"/>
      <c r="F828" s="23"/>
    </row>
    <row r="829">
      <c r="A829" s="9">
        <v>826</v>
      </c>
      <c r="B829" s="6"/>
      <c r="C829" s="4"/>
      <c r="D829" s="7"/>
      <c r="E829" s="7"/>
      <c r="F829" s="23"/>
    </row>
    <row r="830">
      <c r="A830" s="9">
        <v>827</v>
      </c>
      <c r="B830" s="6"/>
      <c r="C830" s="4"/>
      <c r="D830" s="7"/>
      <c r="E830" s="7"/>
      <c r="F830" s="23"/>
    </row>
    <row r="831">
      <c r="A831" s="9">
        <v>828</v>
      </c>
      <c r="B831" s="6"/>
      <c r="C831" s="4"/>
      <c r="D831" s="7"/>
      <c r="E831" s="7"/>
      <c r="F831" s="23"/>
    </row>
    <row r="832">
      <c r="A832" s="9">
        <v>829</v>
      </c>
      <c r="B832" s="6"/>
      <c r="C832" s="4"/>
      <c r="D832" s="7"/>
      <c r="E832" s="7"/>
      <c r="F832" s="23"/>
    </row>
    <row r="833">
      <c r="A833" s="9">
        <v>830</v>
      </c>
      <c r="B833" s="6"/>
      <c r="C833" s="4"/>
      <c r="D833" s="7"/>
      <c r="E833" s="7"/>
      <c r="F833" s="23"/>
    </row>
    <row r="834">
      <c r="A834" s="9">
        <v>831</v>
      </c>
      <c r="B834" s="6"/>
      <c r="C834" s="4"/>
      <c r="D834" s="7"/>
      <c r="E834" s="7"/>
      <c r="F834" s="23"/>
    </row>
    <row r="835">
      <c r="A835" s="9">
        <v>832</v>
      </c>
      <c r="B835" s="6"/>
      <c r="C835" s="4"/>
      <c r="D835" s="7"/>
      <c r="E835" s="7"/>
      <c r="F835" s="23"/>
    </row>
    <row r="836">
      <c r="A836" s="9">
        <v>833</v>
      </c>
      <c r="B836" s="6"/>
      <c r="C836" s="4"/>
      <c r="D836" s="7"/>
      <c r="E836" s="7"/>
      <c r="F836" s="23"/>
    </row>
    <row r="837">
      <c r="A837" s="9">
        <v>834</v>
      </c>
      <c r="B837" s="6"/>
      <c r="C837" s="4"/>
      <c r="D837" s="7"/>
      <c r="E837" s="7"/>
      <c r="F837" s="23"/>
    </row>
    <row r="838">
      <c r="A838" s="9">
        <v>835</v>
      </c>
      <c r="B838" s="6"/>
      <c r="C838" s="4"/>
      <c r="D838" s="7"/>
      <c r="E838" s="7"/>
      <c r="F838" s="23"/>
    </row>
    <row r="839">
      <c r="A839" s="9">
        <v>836</v>
      </c>
      <c r="B839" s="6"/>
      <c r="C839" s="4"/>
      <c r="D839" s="7"/>
      <c r="E839" s="7"/>
      <c r="F839" s="23"/>
    </row>
    <row r="840">
      <c r="A840" s="9">
        <v>837</v>
      </c>
      <c r="B840" s="6"/>
      <c r="C840" s="4"/>
      <c r="D840" s="7"/>
      <c r="E840" s="7"/>
      <c r="F840" s="23"/>
    </row>
    <row r="841">
      <c r="A841" s="9">
        <v>838</v>
      </c>
      <c r="B841" s="6"/>
      <c r="C841" s="4"/>
      <c r="D841" s="7"/>
      <c r="E841" s="7"/>
      <c r="F841" s="23"/>
    </row>
    <row r="842">
      <c r="A842" s="9">
        <v>839</v>
      </c>
      <c r="B842" s="6"/>
      <c r="C842" s="4"/>
      <c r="D842" s="7"/>
      <c r="E842" s="7"/>
      <c r="F842" s="23"/>
    </row>
    <row r="843">
      <c r="A843" s="9">
        <v>840</v>
      </c>
      <c r="B843" s="6"/>
      <c r="C843" s="4"/>
      <c r="D843" s="7"/>
      <c r="E843" s="7"/>
      <c r="F843" s="23"/>
    </row>
    <row r="844">
      <c r="A844" s="9">
        <v>841</v>
      </c>
      <c r="B844" s="6"/>
      <c r="C844" s="4"/>
      <c r="D844" s="7"/>
      <c r="E844" s="7"/>
      <c r="F844" s="23"/>
    </row>
    <row r="845">
      <c r="A845" s="9">
        <v>842</v>
      </c>
      <c r="B845" s="6"/>
      <c r="C845" s="4"/>
      <c r="D845" s="7"/>
      <c r="E845" s="7"/>
      <c r="F845" s="23"/>
    </row>
    <row r="846">
      <c r="A846" s="9">
        <v>843</v>
      </c>
      <c r="B846" s="6"/>
      <c r="C846" s="4"/>
      <c r="D846" s="7"/>
      <c r="E846" s="7"/>
      <c r="F846" s="23"/>
    </row>
    <row r="847">
      <c r="A847" s="9">
        <v>844</v>
      </c>
      <c r="B847" s="6"/>
      <c r="C847" s="4"/>
      <c r="D847" s="7"/>
      <c r="E847" s="7"/>
      <c r="F847" s="23"/>
    </row>
    <row r="848">
      <c r="A848" s="9">
        <v>845</v>
      </c>
      <c r="B848" s="6"/>
      <c r="C848" s="4"/>
      <c r="D848" s="7"/>
      <c r="E848" s="7"/>
      <c r="F848" s="23"/>
    </row>
    <row r="849">
      <c r="A849" s="9">
        <v>846</v>
      </c>
      <c r="B849" s="6"/>
      <c r="C849" s="4"/>
      <c r="D849" s="7"/>
      <c r="E849" s="7"/>
      <c r="F849" s="23"/>
    </row>
    <row r="850">
      <c r="A850" s="9">
        <v>847</v>
      </c>
      <c r="B850" s="6"/>
      <c r="C850" s="4"/>
      <c r="D850" s="7"/>
      <c r="E850" s="7"/>
      <c r="F850" s="23"/>
    </row>
    <row r="851">
      <c r="A851" s="9">
        <v>848</v>
      </c>
      <c r="B851" s="6"/>
      <c r="C851" s="4"/>
      <c r="D851" s="7"/>
      <c r="E851" s="7"/>
      <c r="F851" s="23"/>
    </row>
    <row r="852">
      <c r="A852" s="9">
        <v>849</v>
      </c>
      <c r="B852" s="6"/>
      <c r="C852" s="4"/>
      <c r="D852" s="7"/>
      <c r="E852" s="7"/>
      <c r="F852" s="23"/>
    </row>
    <row r="853">
      <c r="A853" s="9">
        <v>850</v>
      </c>
      <c r="B853" s="6"/>
      <c r="C853" s="4"/>
      <c r="D853" s="7"/>
      <c r="E853" s="7"/>
      <c r="F853" s="23"/>
    </row>
    <row r="854">
      <c r="A854" s="9">
        <v>851</v>
      </c>
      <c r="B854" s="6"/>
      <c r="C854" s="4"/>
      <c r="D854" s="7"/>
      <c r="E854" s="7"/>
      <c r="F854" s="23"/>
    </row>
    <row r="855">
      <c r="A855" s="9">
        <v>852</v>
      </c>
      <c r="B855" s="6"/>
      <c r="C855" s="4"/>
      <c r="D855" s="7"/>
      <c r="E855" s="7"/>
      <c r="F855" s="23"/>
    </row>
    <row r="856">
      <c r="A856" s="9">
        <v>853</v>
      </c>
      <c r="B856" s="6"/>
      <c r="C856" s="4"/>
      <c r="D856" s="7"/>
      <c r="E856" s="7"/>
      <c r="F856" s="23"/>
    </row>
    <row r="857">
      <c r="A857" s="9">
        <v>854</v>
      </c>
      <c r="B857" s="6"/>
      <c r="C857" s="4"/>
      <c r="D857" s="7"/>
      <c r="E857" s="7"/>
      <c r="F857" s="23"/>
    </row>
    <row r="858">
      <c r="A858" s="9">
        <v>855</v>
      </c>
      <c r="B858" s="6"/>
      <c r="C858" s="4"/>
      <c r="D858" s="7"/>
      <c r="E858" s="7"/>
      <c r="F858" s="23"/>
    </row>
    <row r="859">
      <c r="A859" s="9">
        <v>856</v>
      </c>
      <c r="B859" s="6"/>
      <c r="C859" s="4"/>
      <c r="D859" s="7"/>
      <c r="E859" s="7"/>
      <c r="F859" s="23"/>
    </row>
    <row r="860">
      <c r="A860" s="9">
        <v>857</v>
      </c>
      <c r="B860" s="6"/>
      <c r="C860" s="4"/>
      <c r="D860" s="7"/>
      <c r="E860" s="7"/>
      <c r="F860" s="23"/>
    </row>
    <row r="861">
      <c r="A861" s="9">
        <v>858</v>
      </c>
      <c r="B861" s="6"/>
      <c r="C861" s="4"/>
      <c r="D861" s="7"/>
      <c r="E861" s="7"/>
      <c r="F861" s="23"/>
    </row>
    <row r="862">
      <c r="A862" s="9">
        <v>859</v>
      </c>
      <c r="B862" s="6"/>
      <c r="C862" s="4"/>
      <c r="D862" s="7"/>
      <c r="E862" s="7"/>
      <c r="F862" s="23"/>
    </row>
    <row r="863">
      <c r="A863" s="9">
        <v>860</v>
      </c>
      <c r="B863" s="6"/>
      <c r="C863" s="4"/>
      <c r="D863" s="7"/>
      <c r="E863" s="7"/>
      <c r="F863" s="23"/>
    </row>
    <row r="864">
      <c r="A864" s="9">
        <v>861</v>
      </c>
      <c r="B864" s="6"/>
      <c r="C864" s="4"/>
      <c r="D864" s="7"/>
      <c r="E864" s="7"/>
      <c r="F864" s="23"/>
    </row>
    <row r="865">
      <c r="A865" s="9">
        <v>862</v>
      </c>
      <c r="B865" s="6"/>
      <c r="C865" s="4"/>
      <c r="D865" s="7"/>
      <c r="E865" s="7"/>
      <c r="F865" s="23"/>
    </row>
    <row r="866">
      <c r="A866" s="9">
        <v>863</v>
      </c>
      <c r="B866" s="6"/>
      <c r="C866" s="4"/>
      <c r="D866" s="7"/>
      <c r="E866" s="7"/>
      <c r="F866" s="23"/>
    </row>
    <row r="867">
      <c r="A867" s="9">
        <v>864</v>
      </c>
      <c r="B867" s="6"/>
      <c r="C867" s="4"/>
      <c r="D867" s="7"/>
      <c r="E867" s="7"/>
      <c r="F867" s="23"/>
    </row>
    <row r="868">
      <c r="A868" s="9">
        <v>865</v>
      </c>
      <c r="B868" s="6"/>
      <c r="C868" s="4"/>
      <c r="D868" s="7"/>
      <c r="E868" s="7"/>
      <c r="F868" s="23"/>
    </row>
    <row r="869">
      <c r="A869" s="9">
        <v>866</v>
      </c>
      <c r="B869" s="6"/>
      <c r="C869" s="4"/>
      <c r="D869" s="7"/>
      <c r="E869" s="7"/>
      <c r="F869" s="23"/>
    </row>
    <row r="870">
      <c r="A870" s="9">
        <v>867</v>
      </c>
      <c r="B870" s="6"/>
      <c r="C870" s="4"/>
      <c r="D870" s="7"/>
      <c r="E870" s="7"/>
      <c r="F870" s="23"/>
    </row>
    <row r="871">
      <c r="A871" s="9">
        <v>868</v>
      </c>
      <c r="B871" s="6"/>
      <c r="C871" s="4"/>
      <c r="D871" s="7"/>
      <c r="E871" s="7"/>
      <c r="F871" s="23"/>
    </row>
    <row r="872">
      <c r="A872" s="9">
        <v>869</v>
      </c>
      <c r="B872" s="6"/>
      <c r="C872" s="4"/>
      <c r="D872" s="7"/>
      <c r="E872" s="7"/>
      <c r="F872" s="23"/>
    </row>
    <row r="873">
      <c r="A873" s="9">
        <v>870</v>
      </c>
      <c r="B873" s="6"/>
      <c r="C873" s="4"/>
      <c r="D873" s="7"/>
      <c r="E873" s="7"/>
      <c r="F873" s="23"/>
    </row>
    <row r="874">
      <c r="A874" s="9">
        <v>871</v>
      </c>
      <c r="B874" s="6"/>
      <c r="C874" s="4"/>
      <c r="D874" s="7"/>
      <c r="E874" s="7"/>
      <c r="F874" s="23"/>
    </row>
    <row r="875">
      <c r="A875" s="9">
        <v>872</v>
      </c>
      <c r="B875" s="6"/>
      <c r="C875" s="4"/>
      <c r="D875" s="7"/>
      <c r="E875" s="7"/>
      <c r="F875" s="23"/>
    </row>
    <row r="876">
      <c r="A876" s="9">
        <v>873</v>
      </c>
      <c r="B876" s="6"/>
      <c r="C876" s="4"/>
      <c r="D876" s="7"/>
      <c r="E876" s="7"/>
      <c r="F876" s="23"/>
    </row>
    <row r="877">
      <c r="A877" s="9">
        <v>874</v>
      </c>
      <c r="B877" s="6"/>
      <c r="C877" s="4"/>
      <c r="D877" s="7"/>
      <c r="E877" s="7"/>
      <c r="F877" s="23"/>
    </row>
    <row r="878">
      <c r="A878" s="9">
        <v>875</v>
      </c>
      <c r="B878" s="6"/>
      <c r="C878" s="4"/>
      <c r="D878" s="7"/>
      <c r="E878" s="7"/>
      <c r="F878" s="23"/>
    </row>
    <row r="879">
      <c r="A879" s="9">
        <v>876</v>
      </c>
      <c r="B879" s="6"/>
      <c r="C879" s="4"/>
      <c r="D879" s="7"/>
      <c r="E879" s="7"/>
      <c r="F879" s="23"/>
    </row>
    <row r="880">
      <c r="A880" s="9">
        <v>877</v>
      </c>
      <c r="B880" s="6"/>
      <c r="C880" s="4"/>
      <c r="D880" s="7"/>
      <c r="E880" s="7"/>
      <c r="F880" s="23"/>
    </row>
    <row r="881">
      <c r="A881" s="9">
        <v>878</v>
      </c>
      <c r="B881" s="6"/>
      <c r="C881" s="4"/>
      <c r="D881" s="7"/>
      <c r="E881" s="7"/>
      <c r="F881" s="23"/>
    </row>
    <row r="882">
      <c r="A882" s="9">
        <v>879</v>
      </c>
      <c r="B882" s="6"/>
      <c r="C882" s="4"/>
      <c r="D882" s="7"/>
      <c r="E882" s="7"/>
      <c r="F882" s="23"/>
    </row>
    <row r="883">
      <c r="A883" s="9">
        <v>880</v>
      </c>
      <c r="B883" s="6"/>
      <c r="C883" s="4"/>
      <c r="D883" s="7"/>
      <c r="E883" s="7"/>
      <c r="F883" s="23"/>
    </row>
    <row r="884">
      <c r="A884" s="9">
        <v>881</v>
      </c>
      <c r="B884" s="6"/>
      <c r="C884" s="4"/>
      <c r="D884" s="7"/>
      <c r="E884" s="7"/>
      <c r="F884" s="23"/>
    </row>
    <row r="885">
      <c r="A885" s="9">
        <v>882</v>
      </c>
      <c r="B885" s="6"/>
      <c r="C885" s="4"/>
      <c r="D885" s="7"/>
      <c r="E885" s="7"/>
      <c r="F885" s="23"/>
    </row>
    <row r="886">
      <c r="A886" s="9">
        <v>883</v>
      </c>
      <c r="B886" s="6"/>
      <c r="C886" s="4"/>
      <c r="D886" s="7"/>
      <c r="E886" s="7"/>
      <c r="F886" s="23"/>
    </row>
    <row r="887">
      <c r="A887" s="9">
        <v>884</v>
      </c>
      <c r="B887" s="6"/>
      <c r="C887" s="4"/>
      <c r="D887" s="7"/>
      <c r="E887" s="7"/>
      <c r="F887" s="23"/>
    </row>
    <row r="888">
      <c r="A888" s="9">
        <v>885</v>
      </c>
      <c r="B888" s="6"/>
      <c r="C888" s="4"/>
      <c r="D888" s="7"/>
      <c r="E888" s="7"/>
      <c r="F888" s="23"/>
    </row>
    <row r="889">
      <c r="A889" s="9">
        <v>886</v>
      </c>
      <c r="B889" s="6"/>
      <c r="C889" s="4"/>
      <c r="D889" s="7"/>
      <c r="E889" s="7"/>
      <c r="F889" s="23"/>
    </row>
    <row r="890">
      <c r="A890" s="9">
        <v>887</v>
      </c>
      <c r="B890" s="6"/>
      <c r="C890" s="4"/>
      <c r="D890" s="7"/>
      <c r="E890" s="7"/>
      <c r="F890" s="23"/>
    </row>
    <row r="891">
      <c r="A891" s="9">
        <v>888</v>
      </c>
      <c r="B891" s="6"/>
      <c r="C891" s="4"/>
      <c r="D891" s="7"/>
      <c r="E891" s="7"/>
      <c r="F891" s="23"/>
    </row>
    <row r="892">
      <c r="A892" s="9">
        <v>889</v>
      </c>
      <c r="B892" s="6"/>
      <c r="C892" s="4"/>
      <c r="D892" s="7"/>
      <c r="E892" s="7"/>
      <c r="F892" s="23"/>
    </row>
    <row r="893">
      <c r="A893" s="9">
        <v>890</v>
      </c>
      <c r="B893" s="6"/>
      <c r="C893" s="4"/>
      <c r="D893" s="7"/>
      <c r="E893" s="7"/>
      <c r="F893" s="23"/>
    </row>
    <row r="894">
      <c r="A894" s="9">
        <v>891</v>
      </c>
      <c r="B894" s="6"/>
      <c r="C894" s="4"/>
      <c r="D894" s="7"/>
      <c r="E894" s="7"/>
      <c r="F894" s="23"/>
    </row>
    <row r="895">
      <c r="A895" s="9">
        <v>892</v>
      </c>
      <c r="B895" s="6"/>
      <c r="C895" s="4"/>
      <c r="D895" s="7"/>
      <c r="E895" s="7"/>
      <c r="F895" s="23"/>
    </row>
    <row r="896">
      <c r="A896" s="9">
        <v>893</v>
      </c>
      <c r="B896" s="6"/>
      <c r="C896" s="4"/>
      <c r="D896" s="7"/>
      <c r="E896" s="7"/>
      <c r="F896" s="23"/>
    </row>
    <row r="897">
      <c r="A897" s="9">
        <v>894</v>
      </c>
      <c r="B897" s="6"/>
      <c r="C897" s="4"/>
      <c r="D897" s="7"/>
      <c r="E897" s="7"/>
      <c r="F897" s="23"/>
    </row>
    <row r="898">
      <c r="A898" s="9">
        <v>895</v>
      </c>
      <c r="B898" s="6"/>
      <c r="C898" s="4"/>
      <c r="D898" s="7"/>
      <c r="E898" s="7"/>
      <c r="F898" s="23"/>
    </row>
    <row r="899">
      <c r="A899" s="9">
        <v>896</v>
      </c>
      <c r="B899" s="6"/>
      <c r="C899" s="4"/>
      <c r="D899" s="7"/>
      <c r="E899" s="7"/>
      <c r="F899" s="23"/>
    </row>
    <row r="900">
      <c r="A900" s="9">
        <v>897</v>
      </c>
      <c r="B900" s="6"/>
      <c r="C900" s="4"/>
      <c r="D900" s="7"/>
      <c r="E900" s="7"/>
      <c r="F900" s="23"/>
    </row>
    <row r="901">
      <c r="A901" s="9">
        <v>898</v>
      </c>
      <c r="B901" s="6"/>
      <c r="C901" s="4"/>
      <c r="D901" s="7"/>
      <c r="E901" s="7"/>
      <c r="F901" s="23"/>
    </row>
    <row r="902">
      <c r="A902" s="9">
        <v>899</v>
      </c>
      <c r="B902" s="6"/>
      <c r="C902" s="4"/>
      <c r="D902" s="7"/>
      <c r="E902" s="7"/>
      <c r="F902" s="23"/>
    </row>
    <row r="903">
      <c r="A903" s="9">
        <v>900</v>
      </c>
      <c r="B903" s="6"/>
      <c r="C903" s="4"/>
      <c r="D903" s="7"/>
      <c r="E903" s="7"/>
      <c r="F903" s="23"/>
    </row>
    <row r="904">
      <c r="A904" s="9">
        <v>901</v>
      </c>
      <c r="B904" s="6"/>
      <c r="C904" s="4"/>
      <c r="D904" s="7"/>
      <c r="E904" s="7"/>
      <c r="F904" s="23"/>
    </row>
    <row r="905">
      <c r="A905" s="9">
        <v>902</v>
      </c>
      <c r="B905" s="6"/>
      <c r="C905" s="4"/>
      <c r="D905" s="7"/>
      <c r="E905" s="7"/>
      <c r="F905" s="23"/>
    </row>
    <row r="906">
      <c r="A906" s="9">
        <v>903</v>
      </c>
      <c r="B906" s="6"/>
      <c r="C906" s="4"/>
      <c r="D906" s="7"/>
      <c r="E906" s="7"/>
      <c r="F906" s="23"/>
    </row>
    <row r="907">
      <c r="A907" s="9">
        <v>904</v>
      </c>
      <c r="B907" s="6"/>
      <c r="C907" s="4"/>
      <c r="D907" s="7"/>
      <c r="E907" s="7"/>
      <c r="F907" s="23"/>
    </row>
    <row r="908">
      <c r="A908" s="9">
        <v>905</v>
      </c>
      <c r="B908" s="6"/>
      <c r="C908" s="4"/>
      <c r="D908" s="7"/>
      <c r="E908" s="7"/>
      <c r="F908" s="23"/>
    </row>
    <row r="909">
      <c r="A909" s="9">
        <v>906</v>
      </c>
      <c r="B909" s="6"/>
      <c r="C909" s="4"/>
      <c r="D909" s="7"/>
      <c r="E909" s="7"/>
      <c r="F909" s="23"/>
    </row>
    <row r="910">
      <c r="A910" s="9">
        <v>907</v>
      </c>
      <c r="B910" s="6"/>
      <c r="C910" s="4"/>
      <c r="D910" s="7"/>
      <c r="E910" s="7"/>
      <c r="F910" s="23"/>
    </row>
    <row r="911">
      <c r="A911" s="9">
        <v>908</v>
      </c>
      <c r="B911" s="6"/>
      <c r="C911" s="4"/>
      <c r="D911" s="7"/>
      <c r="E911" s="7"/>
      <c r="F911" s="23"/>
    </row>
    <row r="912">
      <c r="A912" s="9">
        <v>909</v>
      </c>
      <c r="B912" s="6"/>
      <c r="C912" s="4"/>
      <c r="D912" s="7"/>
      <c r="E912" s="7"/>
      <c r="F912" s="23"/>
    </row>
    <row r="913">
      <c r="A913" s="9">
        <v>910</v>
      </c>
      <c r="B913" s="6"/>
      <c r="C913" s="4"/>
      <c r="D913" s="7"/>
      <c r="E913" s="7"/>
      <c r="F913" s="23"/>
    </row>
    <row r="914">
      <c r="A914" s="9">
        <v>911</v>
      </c>
      <c r="B914" s="6"/>
      <c r="C914" s="4"/>
      <c r="D914" s="7"/>
      <c r="E914" s="7"/>
      <c r="F914" s="23"/>
    </row>
    <row r="915">
      <c r="A915" s="9">
        <v>912</v>
      </c>
      <c r="B915" s="6"/>
      <c r="C915" s="4"/>
      <c r="D915" s="7"/>
      <c r="E915" s="7"/>
      <c r="F915" s="23"/>
    </row>
    <row r="916">
      <c r="A916" s="9">
        <v>913</v>
      </c>
      <c r="B916" s="6"/>
      <c r="C916" s="4"/>
      <c r="D916" s="7"/>
      <c r="E916" s="7"/>
      <c r="F916" s="23"/>
    </row>
    <row r="917">
      <c r="A917" s="9">
        <v>914</v>
      </c>
      <c r="B917" s="6"/>
      <c r="C917" s="4"/>
      <c r="D917" s="7"/>
      <c r="E917" s="7"/>
      <c r="F917" s="23"/>
    </row>
    <row r="918">
      <c r="A918" s="9">
        <v>915</v>
      </c>
      <c r="B918" s="6"/>
      <c r="C918" s="4"/>
      <c r="D918" s="7"/>
      <c r="E918" s="7"/>
      <c r="F918" s="23"/>
    </row>
    <row r="919">
      <c r="A919" s="9">
        <v>916</v>
      </c>
      <c r="B919" s="6"/>
      <c r="C919" s="4"/>
      <c r="D919" s="7"/>
      <c r="E919" s="7"/>
      <c r="F919" s="23"/>
    </row>
    <row r="920">
      <c r="A920" s="9">
        <v>917</v>
      </c>
      <c r="B920" s="6"/>
      <c r="C920" s="4"/>
      <c r="D920" s="7"/>
      <c r="E920" s="7"/>
      <c r="F920" s="23"/>
    </row>
    <row r="921">
      <c r="A921" s="9">
        <v>918</v>
      </c>
      <c r="B921" s="6"/>
      <c r="C921" s="4"/>
      <c r="D921" s="7"/>
      <c r="E921" s="7"/>
      <c r="F921" s="23"/>
    </row>
    <row r="922">
      <c r="A922" s="9">
        <v>919</v>
      </c>
      <c r="B922" s="6"/>
      <c r="C922" s="4"/>
      <c r="D922" s="7"/>
      <c r="E922" s="7"/>
      <c r="F922" s="23"/>
    </row>
    <row r="923">
      <c r="A923" s="9">
        <v>920</v>
      </c>
      <c r="B923" s="6"/>
      <c r="C923" s="4"/>
      <c r="D923" s="7"/>
      <c r="E923" s="7"/>
      <c r="F923" s="23"/>
    </row>
    <row r="924">
      <c r="A924" s="9">
        <v>921</v>
      </c>
      <c r="B924" s="6"/>
      <c r="C924" s="4"/>
      <c r="D924" s="7"/>
      <c r="E924" s="7"/>
      <c r="F924" s="23"/>
    </row>
    <row r="925">
      <c r="A925" s="9">
        <v>922</v>
      </c>
      <c r="B925" s="6"/>
      <c r="C925" s="4"/>
      <c r="D925" s="7"/>
      <c r="E925" s="7"/>
      <c r="F925" s="23"/>
    </row>
    <row r="926">
      <c r="A926" s="9">
        <v>923</v>
      </c>
      <c r="B926" s="6"/>
      <c r="C926" s="4"/>
      <c r="D926" s="7"/>
      <c r="E926" s="7"/>
      <c r="F926" s="23"/>
    </row>
    <row r="927">
      <c r="A927" s="9">
        <v>924</v>
      </c>
      <c r="B927" s="6"/>
      <c r="C927" s="4"/>
      <c r="D927" s="7"/>
      <c r="E927" s="7"/>
      <c r="F927" s="23"/>
    </row>
    <row r="928">
      <c r="A928" s="9">
        <v>925</v>
      </c>
      <c r="B928" s="6"/>
      <c r="C928" s="4"/>
      <c r="D928" s="7"/>
      <c r="E928" s="7"/>
      <c r="F928" s="23"/>
    </row>
    <row r="929">
      <c r="A929" s="9">
        <v>926</v>
      </c>
      <c r="B929" s="6"/>
      <c r="C929" s="4"/>
      <c r="D929" s="7"/>
      <c r="E929" s="7"/>
      <c r="F929" s="23"/>
    </row>
    <row r="930">
      <c r="A930" s="9">
        <v>927</v>
      </c>
      <c r="B930" s="6"/>
      <c r="C930" s="4"/>
      <c r="D930" s="7"/>
      <c r="E930" s="7"/>
      <c r="F930" s="23"/>
    </row>
    <row r="931">
      <c r="A931" s="9">
        <v>928</v>
      </c>
      <c r="B931" s="6"/>
      <c r="C931" s="4"/>
      <c r="D931" s="7"/>
      <c r="E931" s="7"/>
      <c r="F931" s="23"/>
    </row>
    <row r="932">
      <c r="A932" s="9">
        <v>929</v>
      </c>
      <c r="B932" s="6"/>
      <c r="C932" s="4"/>
      <c r="D932" s="7"/>
      <c r="E932" s="7"/>
      <c r="F932" s="23"/>
    </row>
    <row r="933">
      <c r="A933" s="9">
        <v>930</v>
      </c>
      <c r="B933" s="6"/>
      <c r="C933" s="4"/>
      <c r="D933" s="7"/>
      <c r="E933" s="7"/>
      <c r="F933" s="23"/>
    </row>
    <row r="934">
      <c r="A934" s="9">
        <v>931</v>
      </c>
      <c r="B934" s="6"/>
      <c r="C934" s="4"/>
      <c r="D934" s="7"/>
      <c r="E934" s="7"/>
      <c r="F934" s="23"/>
    </row>
    <row r="935">
      <c r="A935" s="9">
        <v>932</v>
      </c>
      <c r="B935" s="6"/>
      <c r="C935" s="4"/>
      <c r="D935" s="7"/>
      <c r="E935" s="7"/>
      <c r="F935" s="23"/>
    </row>
    <row r="936">
      <c r="A936" s="9">
        <v>933</v>
      </c>
      <c r="B936" s="6"/>
      <c r="C936" s="4"/>
      <c r="D936" s="7"/>
      <c r="E936" s="7"/>
      <c r="F936" s="23"/>
    </row>
    <row r="937">
      <c r="A937" s="9">
        <v>934</v>
      </c>
      <c r="B937" s="6"/>
      <c r="C937" s="4"/>
      <c r="D937" s="7"/>
      <c r="E937" s="7"/>
      <c r="F937" s="23"/>
    </row>
    <row r="938">
      <c r="A938" s="9">
        <v>935</v>
      </c>
      <c r="B938" s="6"/>
      <c r="C938" s="4"/>
      <c r="D938" s="7"/>
      <c r="E938" s="7"/>
      <c r="F938" s="23"/>
    </row>
    <row r="939">
      <c r="A939" s="9">
        <v>936</v>
      </c>
      <c r="B939" s="6"/>
      <c r="C939" s="4"/>
      <c r="D939" s="7"/>
      <c r="E939" s="7"/>
      <c r="F939" s="23"/>
    </row>
    <row r="940">
      <c r="A940" s="9">
        <v>937</v>
      </c>
      <c r="B940" s="6"/>
      <c r="C940" s="4"/>
      <c r="D940" s="7"/>
      <c r="E940" s="7"/>
      <c r="F940" s="23"/>
    </row>
    <row r="941">
      <c r="A941" s="9">
        <v>938</v>
      </c>
      <c r="B941" s="6"/>
      <c r="C941" s="4"/>
      <c r="D941" s="7"/>
      <c r="E941" s="7"/>
      <c r="F941" s="23"/>
    </row>
    <row r="942">
      <c r="A942" s="9">
        <v>939</v>
      </c>
      <c r="B942" s="6"/>
      <c r="C942" s="4"/>
      <c r="D942" s="7"/>
      <c r="E942" s="7"/>
      <c r="F942" s="23"/>
    </row>
    <row r="943">
      <c r="A943" s="9">
        <v>940</v>
      </c>
      <c r="B943" s="6"/>
      <c r="C943" s="4"/>
      <c r="D943" s="7"/>
      <c r="E943" s="7"/>
      <c r="F943" s="23"/>
    </row>
    <row r="944">
      <c r="A944" s="9">
        <v>941</v>
      </c>
      <c r="B944" s="6"/>
      <c r="C944" s="4"/>
      <c r="D944" s="7"/>
      <c r="E944" s="7"/>
      <c r="F944" s="23"/>
    </row>
    <row r="945">
      <c r="A945" s="9">
        <v>942</v>
      </c>
      <c r="B945" s="6"/>
      <c r="C945" s="4"/>
      <c r="D945" s="7"/>
      <c r="E945" s="7"/>
      <c r="F945" s="23"/>
    </row>
    <row r="946">
      <c r="A946" s="9">
        <v>943</v>
      </c>
      <c r="B946" s="6"/>
      <c r="C946" s="4"/>
      <c r="D946" s="7"/>
      <c r="E946" s="7"/>
      <c r="F946" s="23"/>
    </row>
    <row r="947">
      <c r="A947" s="9">
        <v>944</v>
      </c>
      <c r="B947" s="6"/>
      <c r="C947" s="4"/>
      <c r="D947" s="7"/>
      <c r="E947" s="7"/>
      <c r="F947" s="23"/>
    </row>
    <row r="948">
      <c r="A948" s="9">
        <v>945</v>
      </c>
      <c r="B948" s="6"/>
      <c r="C948" s="4"/>
      <c r="D948" s="7"/>
      <c r="E948" s="7"/>
      <c r="F948" s="23"/>
    </row>
    <row r="949">
      <c r="A949" s="9">
        <v>946</v>
      </c>
      <c r="B949" s="6"/>
      <c r="C949" s="4"/>
      <c r="D949" s="7"/>
      <c r="E949" s="7"/>
      <c r="F949" s="23"/>
    </row>
    <row r="950">
      <c r="A950" s="9">
        <v>947</v>
      </c>
      <c r="B950" s="6"/>
      <c r="C950" s="4"/>
      <c r="D950" s="7"/>
      <c r="E950" s="7"/>
      <c r="F950" s="23"/>
    </row>
    <row r="951">
      <c r="A951" s="9">
        <v>948</v>
      </c>
      <c r="B951" s="6"/>
      <c r="C951" s="4"/>
      <c r="D951" s="7"/>
      <c r="E951" s="7"/>
      <c r="F951" s="23"/>
    </row>
    <row r="952">
      <c r="A952" s="9">
        <v>949</v>
      </c>
      <c r="B952" s="6"/>
      <c r="C952" s="4"/>
      <c r="D952" s="7"/>
      <c r="E952" s="7"/>
      <c r="F952" s="23"/>
    </row>
    <row r="953">
      <c r="A953" s="9">
        <v>950</v>
      </c>
      <c r="B953" s="6"/>
      <c r="C953" s="4"/>
      <c r="D953" s="7"/>
      <c r="E953" s="7"/>
      <c r="F953" s="23"/>
    </row>
    <row r="954">
      <c r="A954" s="9">
        <v>951</v>
      </c>
      <c r="B954" s="6"/>
      <c r="C954" s="4"/>
      <c r="D954" s="7"/>
      <c r="E954" s="7"/>
      <c r="F954" s="23"/>
    </row>
    <row r="955">
      <c r="A955" s="9">
        <v>952</v>
      </c>
      <c r="B955" s="6"/>
      <c r="C955" s="4"/>
      <c r="D955" s="7"/>
      <c r="E955" s="7"/>
      <c r="F955" s="23"/>
    </row>
    <row r="956">
      <c r="A956" s="9">
        <v>953</v>
      </c>
      <c r="B956" s="6"/>
      <c r="C956" s="4"/>
      <c r="D956" s="7"/>
      <c r="E956" s="7"/>
      <c r="F956" s="23"/>
    </row>
    <row r="957">
      <c r="A957" s="9">
        <v>954</v>
      </c>
      <c r="B957" s="6"/>
      <c r="C957" s="4"/>
      <c r="D957" s="7"/>
      <c r="E957" s="7"/>
      <c r="F957" s="23"/>
    </row>
    <row r="958">
      <c r="A958" s="9">
        <v>955</v>
      </c>
      <c r="B958" s="6"/>
      <c r="C958" s="4"/>
      <c r="D958" s="7"/>
      <c r="E958" s="7"/>
      <c r="F958" s="23"/>
    </row>
    <row r="959">
      <c r="A959" s="9">
        <v>956</v>
      </c>
      <c r="B959" s="6"/>
      <c r="C959" s="4"/>
      <c r="D959" s="7"/>
      <c r="E959" s="7"/>
      <c r="F959" s="23"/>
    </row>
    <row r="960">
      <c r="A960" s="9">
        <v>957</v>
      </c>
      <c r="B960" s="6"/>
      <c r="C960" s="4"/>
      <c r="D960" s="7"/>
      <c r="E960" s="7"/>
      <c r="F960" s="23"/>
    </row>
    <row r="961">
      <c r="A961" s="9">
        <v>958</v>
      </c>
      <c r="B961" s="6"/>
      <c r="C961" s="4"/>
      <c r="D961" s="7"/>
      <c r="E961" s="7"/>
      <c r="F961" s="23"/>
    </row>
    <row r="962">
      <c r="A962" s="9">
        <v>959</v>
      </c>
      <c r="B962" s="6"/>
      <c r="C962" s="4"/>
      <c r="D962" s="7"/>
      <c r="E962" s="7"/>
      <c r="F962" s="23"/>
    </row>
    <row r="963">
      <c r="A963" s="9">
        <v>960</v>
      </c>
      <c r="B963" s="6"/>
      <c r="C963" s="4"/>
      <c r="D963" s="7"/>
      <c r="E963" s="7"/>
      <c r="F963" s="23"/>
    </row>
    <row r="964">
      <c r="A964" s="9">
        <v>961</v>
      </c>
      <c r="B964" s="6"/>
      <c r="C964" s="4"/>
      <c r="D964" s="7"/>
      <c r="E964" s="7"/>
      <c r="F964" s="23"/>
    </row>
    <row r="965">
      <c r="A965" s="9">
        <v>962</v>
      </c>
      <c r="B965" s="6"/>
      <c r="C965" s="4"/>
      <c r="D965" s="7"/>
      <c r="E965" s="7"/>
      <c r="F965" s="23"/>
    </row>
    <row r="966">
      <c r="A966" s="9">
        <v>963</v>
      </c>
      <c r="B966" s="6"/>
      <c r="C966" s="4"/>
      <c r="D966" s="7"/>
      <c r="E966" s="7"/>
      <c r="F966" s="23"/>
    </row>
    <row r="967">
      <c r="A967" s="9">
        <v>964</v>
      </c>
      <c r="B967" s="6"/>
      <c r="C967" s="4"/>
      <c r="D967" s="7"/>
      <c r="E967" s="7"/>
      <c r="F967" s="23"/>
    </row>
    <row r="968">
      <c r="A968" s="9">
        <v>965</v>
      </c>
      <c r="B968" s="6"/>
      <c r="C968" s="4"/>
      <c r="D968" s="7"/>
      <c r="E968" s="7"/>
      <c r="F968" s="23"/>
    </row>
    <row r="969">
      <c r="A969" s="9">
        <v>966</v>
      </c>
      <c r="B969" s="6"/>
      <c r="C969" s="4"/>
      <c r="D969" s="7"/>
      <c r="E969" s="7"/>
      <c r="F969" s="23"/>
    </row>
    <row r="970">
      <c r="A970" s="9">
        <v>967</v>
      </c>
      <c r="B970" s="6"/>
      <c r="C970" s="4"/>
      <c r="D970" s="7"/>
      <c r="E970" s="7"/>
      <c r="F970" s="23"/>
    </row>
    <row r="971">
      <c r="A971" s="9">
        <v>968</v>
      </c>
      <c r="B971" s="6"/>
      <c r="C971" s="4"/>
      <c r="D971" s="7"/>
      <c r="E971" s="7"/>
      <c r="F971" s="23"/>
    </row>
    <row r="972">
      <c r="A972" s="9">
        <v>969</v>
      </c>
      <c r="B972" s="6"/>
      <c r="C972" s="4"/>
      <c r="D972" s="7"/>
      <c r="E972" s="7"/>
      <c r="F972" s="23"/>
    </row>
    <row r="973">
      <c r="A973" s="9">
        <v>970</v>
      </c>
      <c r="B973" s="6"/>
      <c r="C973" s="4"/>
      <c r="D973" s="7"/>
      <c r="E973" s="7"/>
      <c r="F973" s="23"/>
    </row>
    <row r="974">
      <c r="A974" s="9">
        <v>971</v>
      </c>
      <c r="B974" s="6"/>
      <c r="C974" s="4"/>
      <c r="D974" s="7"/>
      <c r="E974" s="7"/>
      <c r="F974" s="23"/>
    </row>
    <row r="975">
      <c r="A975" s="9">
        <v>972</v>
      </c>
      <c r="B975" s="6"/>
      <c r="C975" s="4"/>
      <c r="D975" s="7"/>
      <c r="E975" s="7"/>
      <c r="F975" s="23"/>
    </row>
    <row r="976">
      <c r="A976" s="9">
        <v>973</v>
      </c>
      <c r="B976" s="6"/>
      <c r="C976" s="4"/>
      <c r="D976" s="7"/>
      <c r="E976" s="7"/>
      <c r="F976" s="23"/>
    </row>
    <row r="977">
      <c r="A977" s="9">
        <v>974</v>
      </c>
      <c r="B977" s="6"/>
      <c r="C977" s="4"/>
      <c r="D977" s="7"/>
      <c r="E977" s="7"/>
      <c r="F977" s="23"/>
    </row>
    <row r="978">
      <c r="A978" s="9">
        <v>975</v>
      </c>
      <c r="B978" s="6"/>
      <c r="C978" s="4"/>
      <c r="D978" s="7"/>
      <c r="E978" s="7"/>
      <c r="F978" s="23"/>
    </row>
    <row r="979">
      <c r="A979" s="9">
        <v>976</v>
      </c>
      <c r="B979" s="6"/>
      <c r="C979" s="4"/>
      <c r="D979" s="7"/>
      <c r="E979" s="7"/>
      <c r="F979" s="23"/>
    </row>
    <row r="980">
      <c r="A980" s="9">
        <v>977</v>
      </c>
      <c r="B980" s="6"/>
      <c r="C980" s="4"/>
      <c r="D980" s="7"/>
      <c r="E980" s="7"/>
      <c r="F980" s="23"/>
    </row>
    <row r="981">
      <c r="A981" s="9">
        <v>978</v>
      </c>
      <c r="B981" s="6"/>
      <c r="C981" s="4"/>
      <c r="D981" s="7"/>
      <c r="E981" s="7"/>
      <c r="F981" s="23"/>
    </row>
    <row r="982">
      <c r="A982" s="9">
        <v>979</v>
      </c>
      <c r="B982" s="6"/>
      <c r="C982" s="4"/>
      <c r="D982" s="7"/>
      <c r="E982" s="7"/>
      <c r="F982" s="23"/>
    </row>
    <row r="983">
      <c r="A983" s="9">
        <v>980</v>
      </c>
      <c r="B983" s="6"/>
      <c r="C983" s="4"/>
      <c r="D983" s="7"/>
      <c r="E983" s="7"/>
      <c r="F983" s="23"/>
    </row>
    <row r="984">
      <c r="A984" s="9">
        <v>981</v>
      </c>
      <c r="B984" s="6"/>
      <c r="C984" s="4"/>
      <c r="D984" s="7"/>
      <c r="E984" s="7"/>
      <c r="F984" s="23"/>
    </row>
    <row r="985">
      <c r="A985" s="9">
        <v>982</v>
      </c>
      <c r="B985" s="6"/>
      <c r="C985" s="4"/>
      <c r="D985" s="7"/>
      <c r="E985" s="7"/>
      <c r="F985" s="23"/>
    </row>
    <row r="986">
      <c r="A986" s="9">
        <v>983</v>
      </c>
      <c r="B986" s="6"/>
      <c r="C986" s="4"/>
      <c r="D986" s="7"/>
      <c r="E986" s="7"/>
      <c r="F986" s="23"/>
    </row>
    <row r="987">
      <c r="A987" s="9">
        <v>984</v>
      </c>
      <c r="B987" s="6"/>
      <c r="C987" s="4"/>
      <c r="D987" s="7"/>
      <c r="E987" s="7"/>
      <c r="F987" s="23"/>
    </row>
    <row r="988">
      <c r="A988" s="9">
        <v>985</v>
      </c>
      <c r="B988" s="6"/>
      <c r="C988" s="4"/>
      <c r="D988" s="7"/>
      <c r="E988" s="7"/>
      <c r="F988" s="23"/>
    </row>
    <row r="989">
      <c r="A989" s="9">
        <v>986</v>
      </c>
      <c r="B989" s="6"/>
      <c r="C989" s="4"/>
      <c r="D989" s="7"/>
      <c r="E989" s="7"/>
      <c r="F989" s="23"/>
    </row>
    <row r="990">
      <c r="A990" s="9">
        <v>987</v>
      </c>
      <c r="B990" s="6"/>
      <c r="C990" s="4"/>
      <c r="D990" s="7"/>
      <c r="E990" s="7"/>
      <c r="F990" s="23"/>
    </row>
    <row r="991">
      <c r="A991" s="9">
        <v>988</v>
      </c>
      <c r="B991" s="6"/>
      <c r="C991" s="4"/>
      <c r="D991" s="7"/>
      <c r="E991" s="7"/>
      <c r="F991" s="23"/>
    </row>
    <row r="992">
      <c r="A992" s="9">
        <v>989</v>
      </c>
      <c r="B992" s="6"/>
      <c r="C992" s="4"/>
      <c r="D992" s="7"/>
      <c r="E992" s="7"/>
      <c r="F992" s="23"/>
    </row>
    <row r="993">
      <c r="A993" s="9">
        <v>990</v>
      </c>
      <c r="B993" s="6"/>
      <c r="C993" s="4"/>
      <c r="D993" s="7"/>
      <c r="E993" s="7"/>
      <c r="F993" s="23"/>
    </row>
    <row r="994">
      <c r="A994" s="9">
        <v>991</v>
      </c>
      <c r="B994" s="6"/>
      <c r="C994" s="4"/>
      <c r="D994" s="7"/>
      <c r="E994" s="7"/>
      <c r="F994" s="23"/>
    </row>
    <row r="995">
      <c r="A995" s="9">
        <v>992</v>
      </c>
      <c r="B995" s="6"/>
      <c r="C995" s="4"/>
      <c r="D995" s="7"/>
      <c r="E995" s="7"/>
      <c r="F995" s="23"/>
    </row>
    <row r="996">
      <c r="A996" s="9">
        <v>993</v>
      </c>
      <c r="B996" s="6"/>
      <c r="C996" s="4"/>
      <c r="D996" s="7"/>
      <c r="E996" s="7"/>
      <c r="F996" s="23"/>
    </row>
    <row r="997">
      <c r="A997" s="9">
        <v>994</v>
      </c>
      <c r="B997" s="6"/>
      <c r="C997" s="4"/>
      <c r="D997" s="7"/>
      <c r="E997" s="7"/>
      <c r="F997" s="23"/>
    </row>
    <row r="998">
      <c r="A998" s="9">
        <v>995</v>
      </c>
      <c r="B998" s="6"/>
      <c r="C998" s="4"/>
      <c r="D998" s="7"/>
      <c r="E998" s="7"/>
      <c r="F998" s="23"/>
    </row>
    <row r="999">
      <c r="A999" s="9">
        <v>996</v>
      </c>
      <c r="B999" s="6"/>
      <c r="C999" s="4"/>
      <c r="D999" s="7"/>
      <c r="E999" s="7"/>
      <c r="F999" s="23"/>
    </row>
    <row r="1000">
      <c r="A1000" s="9">
        <v>997</v>
      </c>
      <c r="B1000" s="6"/>
      <c r="C1000" s="4"/>
      <c r="D1000" s="7"/>
      <c r="E1000" s="7"/>
      <c r="F1000" s="23"/>
    </row>
    <row r="1001">
      <c r="A1001" s="9">
        <v>998</v>
      </c>
      <c r="B1001" s="6"/>
      <c r="C1001" s="4"/>
      <c r="D1001" s="7"/>
      <c r="E1001" s="7"/>
      <c r="F1001" s="23"/>
    </row>
    <row r="1002">
      <c r="A1002" s="9">
        <v>999</v>
      </c>
      <c r="B1002" s="6"/>
      <c r="C1002" s="4"/>
      <c r="D1002" s="7"/>
      <c r="E1002" s="7"/>
      <c r="F1002" s="23"/>
    </row>
    <row r="1003">
      <c r="A1003" s="9">
        <v>1000</v>
      </c>
      <c r="B1003" s="6"/>
      <c r="C1003" s="4"/>
      <c r="D1003" s="7"/>
      <c r="E1003" s="7"/>
      <c r="F1003" s="23"/>
    </row>
    <row r="1004">
      <c r="A1004" s="2" t="s">
        <v>64</v>
      </c>
      <c r="C1004" s="5">
        <f>SUM(C4:C1003)</f>
      </c>
    </row>
  </sheetData>
  <mergeCells count="2">
    <mergeCell ref="A1:F1"/>
    <mergeCell ref="A1004:B1004"/>
  </mergeCells>
  <dataValidations count="2">
    <dataValidation type="list" sqref="D4:D1003" showDropDown="0" showErrorMessage="1" showInputMessage="1">
      <formula1>Справочник!$C$2:$C$20</formula1>
    </dataValidation>
    <dataValidation type="list" sqref="E4:E1003" showDropDown="0" showErrorMessage="1" showInputMessage="1">
      <formula1>Справочник!$D$2:$D$20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3864"/>
  </sheetPr>
  <sheetViews>
    <sheetView showGridLines="0" workbookViewId="0">
      <pane xSplit="0" ySplit="3" topLeftCell="A4" activePane="bottomRight" state="frozen"/>
    </sheetView>
  </sheetViews>
  <cols>
    <col min="1" max="1" width="22" customWidth="1"/>
    <col min="2" max="2" width="18" customWidth="1"/>
    <col min="3" max="3" width="18" customWidth="1"/>
    <col min="4" max="4" width="18" customWidth="1"/>
  </cols>
  <sheetData>
    <row r="1" ht="50" customHeight="1">
      <c r="A1" s="15" t="s">
        <v>93</v>
      </c>
    </row>
    <row r="2" ht="25" customHeight="1">
      <c r="A2" s="22" t="s">
        <v>98</v>
      </c>
    </row>
    <row r="3" ht="30" customHeight="1">
      <c r="A3" s="1" t="s">
        <v>68</v>
      </c>
      <c r="B3" s="1" t="s">
        <v>65</v>
      </c>
      <c r="C3" s="1" t="s">
        <v>66</v>
      </c>
      <c r="D3" s="1" t="s">
        <v>67</v>
      </c>
    </row>
    <row r="4" ht="22" customHeight="1">
      <c r="A4" s="3" t="s">
        <v>0</v>
      </c>
      <c r="B4" s="4">
        <f>SUMIF('Январь'!H:H,"Оплачено",'Январь'!F:F)</f>
      </c>
      <c r="C4" s="4">
        <f>SUMPRODUCT((MONTH(IFERROR('Расходы'!B4:B1003,0))=1)*(YEAR(IFERROR('Расходы'!B4:B1003,0))=2026)*('Расходы'!C4:C1003))</f>
      </c>
      <c r="D4" s="4">
        <f>B4-C4</f>
      </c>
    </row>
    <row r="5" ht="22" customHeight="1">
      <c r="A5" s="3" t="s">
        <v>1</v>
      </c>
      <c r="B5" s="4">
        <f>SUMIF('Февраль'!H:H,"Оплачено",'Февраль'!F:F)</f>
      </c>
      <c r="C5" s="4">
        <f>SUMPRODUCT((MONTH(IFERROR('Расходы'!B4:B1003,0))=2)*(YEAR(IFERROR('Расходы'!B4:B1003,0))=2026)*('Расходы'!C4:C1003))</f>
      </c>
      <c r="D5" s="4">
        <f>B5-C5</f>
      </c>
    </row>
    <row r="6" ht="22" customHeight="1">
      <c r="A6" s="3" t="s">
        <v>2</v>
      </c>
      <c r="B6" s="4">
        <f>SUMIF('Март'!H:H,"Оплачено",'Март'!F:F)</f>
      </c>
      <c r="C6" s="4">
        <f>SUMPRODUCT((MONTH(IFERROR('Расходы'!B4:B1003,0))=3)*(YEAR(IFERROR('Расходы'!B4:B1003,0))=2026)*('Расходы'!C4:C1003))</f>
      </c>
      <c r="D6" s="4">
        <f>B6-C6</f>
      </c>
    </row>
    <row r="7" ht="22" customHeight="1">
      <c r="A7" s="3" t="s">
        <v>3</v>
      </c>
      <c r="B7" s="4">
        <f>SUMIF('Апрель'!H:H,"Оплачено",'Апрель'!F:F)</f>
      </c>
      <c r="C7" s="4">
        <f>SUMPRODUCT((MONTH(IFERROR('Расходы'!B4:B1003,0))=4)*(YEAR(IFERROR('Расходы'!B4:B1003,0))=2026)*('Расходы'!C4:C1003))</f>
      </c>
      <c r="D7" s="4">
        <f>B7-C7</f>
      </c>
    </row>
    <row r="8" ht="22" customHeight="1">
      <c r="A8" s="3" t="s">
        <v>4</v>
      </c>
      <c r="B8" s="4">
        <f>SUMIF('Май'!H:H,"Оплачено",'Май'!F:F)</f>
      </c>
      <c r="C8" s="4">
        <f>SUMPRODUCT((MONTH(IFERROR('Расходы'!B4:B1003,0))=5)*(YEAR(IFERROR('Расходы'!B4:B1003,0))=2026)*('Расходы'!C4:C1003))</f>
      </c>
      <c r="D8" s="4">
        <f>B8-C8</f>
      </c>
    </row>
    <row r="9" ht="22" customHeight="1">
      <c r="A9" s="3" t="s">
        <v>5</v>
      </c>
      <c r="B9" s="4">
        <f>SUMIF('Июнь'!H:H,"Оплачено",'Июнь'!F:F)</f>
      </c>
      <c r="C9" s="4">
        <f>SUMPRODUCT((MONTH(IFERROR('Расходы'!B4:B1003,0))=6)*(YEAR(IFERROR('Расходы'!B4:B1003,0))=2026)*('Расходы'!C4:C1003))</f>
      </c>
      <c r="D9" s="4">
        <f>B9-C9</f>
      </c>
    </row>
    <row r="10" ht="22" customHeight="1">
      <c r="A10" s="3" t="s">
        <v>6</v>
      </c>
      <c r="B10" s="4">
        <f>SUMIF('Июль'!H:H,"Оплачено",'Июль'!F:F)</f>
      </c>
      <c r="C10" s="4">
        <f>SUMPRODUCT((MONTH(IFERROR('Расходы'!B4:B1003,0))=7)*(YEAR(IFERROR('Расходы'!B4:B1003,0))=2026)*('Расходы'!C4:C1003))</f>
      </c>
      <c r="D10" s="4">
        <f>B10-C10</f>
      </c>
    </row>
    <row r="11" ht="22" customHeight="1">
      <c r="A11" s="3" t="s">
        <v>7</v>
      </c>
      <c r="B11" s="4">
        <f>SUMIF('Август'!H:H,"Оплачено",'Август'!F:F)</f>
      </c>
      <c r="C11" s="4">
        <f>SUMPRODUCT((MONTH(IFERROR('Расходы'!B4:B1003,0))=8)*(YEAR(IFERROR('Расходы'!B4:B1003,0))=2026)*('Расходы'!C4:C1003))</f>
      </c>
      <c r="D11" s="4">
        <f>B11-C11</f>
      </c>
    </row>
    <row r="12" ht="22" customHeight="1">
      <c r="A12" s="3" t="s">
        <v>8</v>
      </c>
      <c r="B12" s="4">
        <f>SUMIF('Сентябрь'!H:H,"Оплачено",'Сентябрь'!F:F)</f>
      </c>
      <c r="C12" s="4">
        <f>SUMPRODUCT((MONTH(IFERROR('Расходы'!B4:B1003,0))=9)*(YEAR(IFERROR('Расходы'!B4:B1003,0))=2026)*('Расходы'!C4:C1003))</f>
      </c>
      <c r="D12" s="4">
        <f>B12-C12</f>
      </c>
    </row>
    <row r="13" ht="22" customHeight="1">
      <c r="A13" s="3" t="s">
        <v>9</v>
      </c>
      <c r="B13" s="4">
        <f>SUMIF('Октябрь'!H:H,"Оплачено",'Октябрь'!F:F)</f>
      </c>
      <c r="C13" s="4">
        <f>SUMPRODUCT((MONTH(IFERROR('Расходы'!B4:B1003,0))=10)*(YEAR(IFERROR('Расходы'!B4:B1003,0))=2026)*('Расходы'!C4:C1003))</f>
      </c>
      <c r="D13" s="4">
        <f>B13-C13</f>
      </c>
    </row>
    <row r="14" ht="22" customHeight="1">
      <c r="A14" s="3" t="s">
        <v>10</v>
      </c>
      <c r="B14" s="4">
        <f>SUMIF('Ноябрь'!H:H,"Оплачено",'Ноябрь'!F:F)</f>
      </c>
      <c r="C14" s="4">
        <f>SUMPRODUCT((MONTH(IFERROR('Расходы'!B4:B1003,0))=11)*(YEAR(IFERROR('Расходы'!B4:B1003,0))=2026)*('Расходы'!C4:C1003))</f>
      </c>
      <c r="D14" s="4">
        <f>B14-C14</f>
      </c>
    </row>
    <row r="15" ht="22" customHeight="1">
      <c r="A15" s="3" t="s">
        <v>11</v>
      </c>
      <c r="B15" s="4">
        <f>SUMIF('Декабрь'!H:H,"Оплачено",'Декабрь'!F:F)</f>
      </c>
      <c r="C15" s="4">
        <f>SUMPRODUCT((MONTH(IFERROR('Расходы'!B4:B1003,0))=12)*(YEAR(IFERROR('Расходы'!B4:B1003,0))=2026)*('Расходы'!C4:C1003))</f>
      </c>
      <c r="D15" s="4">
        <f>B15-C15</f>
      </c>
    </row>
    <row r="16" ht="25" customHeight="1">
      <c r="A16" s="12" t="s">
        <v>64</v>
      </c>
      <c r="B16" s="5">
        <f>SUM(B4:B15)</f>
      </c>
      <c r="C16" s="5">
        <f>SUM(C4:C15)</f>
      </c>
      <c r="D16" s="5">
        <f>B16-C16</f>
      </c>
    </row>
  </sheetData>
  <mergeCells count="2">
    <mergeCell ref="A1:D1"/>
    <mergeCell ref="A2:D2"/>
  </mergeCells>
  <conditionalFormatting sqref="D4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5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6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7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8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9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0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1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2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3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4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5">
    <cfRule type="cellIs" operator="greaterThanOrEqual" dxfId="2" priority="1">
      <formula>0</formula>
    </cfRule>
    <cfRule type="cellIs" operator="lessThan" dxfId="3" priority="2">
      <formula>0</formula>
    </cfRule>
  </conditionalFormatting>
  <conditionalFormatting sqref="D16">
    <cfRule type="cellIs" operator="greaterThanOrEqual" dxfId="2" priority="1">
      <formula>0</formula>
    </cfRule>
    <cfRule type="cellIs" operator="lessThan" dxfId="3" priority="2">
      <formula>0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3864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103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E75B6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104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F6B75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105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BF8F00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106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B2D8B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107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B5E3B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108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2020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109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D5A80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110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6064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111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4A148C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112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A237E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113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33691E"/>
  </sheetPr>
  <sheetViews>
    <sheetView showGridLines="0" workbookViewId="0">
      <pane xSplit="0" ySplit="3" topLeftCell="A4" activePane="bottomRight" state="frozen"/>
    </sheetView>
  </sheetViews>
  <cols>
    <col min="1" max="1" width="5" customWidth="1"/>
    <col min="2" max="2" width="25" customWidth="1"/>
    <col min="3" max="3" width="14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20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 ht="50" customHeight="1">
      <c r="A1" s="15" t="s">
        <v>114</v>
      </c>
    </row>
    <row r="2" ht="22" customHeight="1">
      <c r="J2" s="2" t="s">
        <v>32</v>
      </c>
      <c r="L2" s="18" t="s">
        <v>33</v>
      </c>
      <c r="N2" s="2" t="s">
        <v>34</v>
      </c>
      <c r="P2" s="19" t="s">
        <v>35</v>
      </c>
    </row>
    <row r="3" ht="35" customHeight="1">
      <c r="A3" s="1" t="s">
        <v>77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73</v>
      </c>
      <c r="G3" s="1" t="s">
        <v>83</v>
      </c>
      <c r="H3" s="1" t="s">
        <v>84</v>
      </c>
      <c r="I3" s="1" t="s">
        <v>85</v>
      </c>
      <c r="J3" s="2" t="s">
        <v>30</v>
      </c>
      <c r="K3" s="11" t="s">
        <v>31</v>
      </c>
      <c r="L3" s="18" t="s">
        <v>30</v>
      </c>
      <c r="M3" s="11" t="s">
        <v>31</v>
      </c>
      <c r="N3" s="2" t="s">
        <v>30</v>
      </c>
      <c r="O3" s="11" t="s">
        <v>31</v>
      </c>
      <c r="P3" s="19" t="s">
        <v>30</v>
      </c>
      <c r="Q3" s="11" t="s">
        <v>31</v>
      </c>
    </row>
    <row r="4">
      <c r="A4" s="9">
        <v>1</v>
      </c>
      <c r="B4" s="7"/>
      <c r="C4" s="6"/>
      <c r="D4" s="8"/>
      <c r="E4" s="8"/>
      <c r="F4" s="4"/>
      <c r="G4" s="8"/>
      <c r="H4" s="8"/>
      <c r="I4" s="8"/>
      <c r="J4" s="13">
        <f>IF(AND(G4="Карта",H4="Оплачено"),F4,"")</f>
      </c>
      <c r="K4" s="14">
        <f>IF(AND(G4="Карта",H4="Не оплачено"),F4,"")</f>
      </c>
      <c r="L4" s="13">
        <f>IF(AND(G4="Наличные",H4="Оплачено"),F4,"")</f>
      </c>
      <c r="M4" s="14">
        <f>IF(AND(G4="Наличные",H4="Не оплачено"),F4,"")</f>
      </c>
      <c r="N4" s="13">
        <f>IF(AND(G4="Терминал",H4="Оплачено"),F4,"")</f>
      </c>
      <c r="O4" s="14">
        <f>IF(AND(G4="Терминал",H4="Не оплачено"),F4,"")</f>
      </c>
      <c r="P4" s="13">
        <f>IF(AND(G4="Перечисление",H4="Оплачено"),F4,"")</f>
      </c>
      <c r="Q4" s="14">
        <f>IF(AND(G4="Перечисление",H4="Не оплачено"),F4,"")</f>
      </c>
    </row>
    <row r="5">
      <c r="A5" s="9">
        <v>2</v>
      </c>
      <c r="B5" s="7"/>
      <c r="C5" s="6"/>
      <c r="D5" s="8"/>
      <c r="E5" s="8"/>
      <c r="F5" s="4"/>
      <c r="G5" s="8"/>
      <c r="H5" s="8"/>
      <c r="I5" s="8"/>
      <c r="J5" s="13">
        <f>IF(AND(G5="Карта",H5="Оплачено"),F5,"")</f>
      </c>
      <c r="K5" s="14">
        <f>IF(AND(G5="Карта",H5="Не оплачено"),F5,"")</f>
      </c>
      <c r="L5" s="13">
        <f>IF(AND(G5="Наличные",H5="Оплачено"),F5,"")</f>
      </c>
      <c r="M5" s="14">
        <f>IF(AND(G5="Наличные",H5="Не оплачено"),F5,"")</f>
      </c>
      <c r="N5" s="13">
        <f>IF(AND(G5="Терминал",H5="Оплачено"),F5,"")</f>
      </c>
      <c r="O5" s="14">
        <f>IF(AND(G5="Терминал",H5="Не оплачено"),F5,"")</f>
      </c>
      <c r="P5" s="13">
        <f>IF(AND(G5="Перечисление",H5="Оплачено"),F5,"")</f>
      </c>
      <c r="Q5" s="14">
        <f>IF(AND(G5="Перечисление",H5="Не оплачено"),F5,"")</f>
      </c>
    </row>
    <row r="6">
      <c r="A6" s="9">
        <v>3</v>
      </c>
      <c r="B6" s="7"/>
      <c r="C6" s="6"/>
      <c r="D6" s="8"/>
      <c r="E6" s="8"/>
      <c r="F6" s="4"/>
      <c r="G6" s="8"/>
      <c r="H6" s="8"/>
      <c r="I6" s="8"/>
      <c r="J6" s="13">
        <f>IF(AND(G6="Карта",H6="Оплачено"),F6,"")</f>
      </c>
      <c r="K6" s="14">
        <f>IF(AND(G6="Карта",H6="Не оплачено"),F6,"")</f>
      </c>
      <c r="L6" s="13">
        <f>IF(AND(G6="Наличные",H6="Оплачено"),F6,"")</f>
      </c>
      <c r="M6" s="14">
        <f>IF(AND(G6="Наличные",H6="Не оплачено"),F6,"")</f>
      </c>
      <c r="N6" s="13">
        <f>IF(AND(G6="Терминал",H6="Оплачено"),F6,"")</f>
      </c>
      <c r="O6" s="14">
        <f>IF(AND(G6="Терминал",H6="Не оплачено"),F6,"")</f>
      </c>
      <c r="P6" s="13">
        <f>IF(AND(G6="Перечисление",H6="Оплачено"),F6,"")</f>
      </c>
      <c r="Q6" s="14">
        <f>IF(AND(G6="Перечисление",H6="Не оплачено"),F6,"")</f>
      </c>
    </row>
    <row r="7">
      <c r="A7" s="9">
        <v>4</v>
      </c>
      <c r="B7" s="7"/>
      <c r="C7" s="6"/>
      <c r="D7" s="8"/>
      <c r="E7" s="8"/>
      <c r="F7" s="4"/>
      <c r="G7" s="8"/>
      <c r="H7" s="8"/>
      <c r="I7" s="8"/>
      <c r="J7" s="13">
        <f>IF(AND(G7="Карта",H7="Оплачено"),F7,"")</f>
      </c>
      <c r="K7" s="14">
        <f>IF(AND(G7="Карта",H7="Не оплачено"),F7,"")</f>
      </c>
      <c r="L7" s="13">
        <f>IF(AND(G7="Наличные",H7="Оплачено"),F7,"")</f>
      </c>
      <c r="M7" s="14">
        <f>IF(AND(G7="Наличные",H7="Не оплачено"),F7,"")</f>
      </c>
      <c r="N7" s="13">
        <f>IF(AND(G7="Терминал",H7="Оплачено"),F7,"")</f>
      </c>
      <c r="O7" s="14">
        <f>IF(AND(G7="Терминал",H7="Не оплачено"),F7,"")</f>
      </c>
      <c r="P7" s="13">
        <f>IF(AND(G7="Перечисление",H7="Оплачено"),F7,"")</f>
      </c>
      <c r="Q7" s="14">
        <f>IF(AND(G7="Перечисление",H7="Не оплачено"),F7,"")</f>
      </c>
    </row>
    <row r="8">
      <c r="A8" s="9">
        <v>5</v>
      </c>
      <c r="B8" s="7"/>
      <c r="C8" s="6"/>
      <c r="D8" s="8"/>
      <c r="E8" s="8"/>
      <c r="F8" s="4"/>
      <c r="G8" s="8"/>
      <c r="H8" s="8"/>
      <c r="I8" s="8"/>
      <c r="J8" s="13">
        <f>IF(AND(G8="Карта",H8="Оплачено"),F8,"")</f>
      </c>
      <c r="K8" s="14">
        <f>IF(AND(G8="Карта",H8="Не оплачено"),F8,"")</f>
      </c>
      <c r="L8" s="13">
        <f>IF(AND(G8="Наличные",H8="Оплачено"),F8,"")</f>
      </c>
      <c r="M8" s="14">
        <f>IF(AND(G8="Наличные",H8="Не оплачено"),F8,"")</f>
      </c>
      <c r="N8" s="13">
        <f>IF(AND(G8="Терминал",H8="Оплачено"),F8,"")</f>
      </c>
      <c r="O8" s="14">
        <f>IF(AND(G8="Терминал",H8="Не оплачено"),F8,"")</f>
      </c>
      <c r="P8" s="13">
        <f>IF(AND(G8="Перечисление",H8="Оплачено"),F8,"")</f>
      </c>
      <c r="Q8" s="14">
        <f>IF(AND(G8="Перечисление",H8="Не оплачено"),F8,"")</f>
      </c>
    </row>
    <row r="9">
      <c r="A9" s="9">
        <v>6</v>
      </c>
      <c r="B9" s="7"/>
      <c r="C9" s="6"/>
      <c r="D9" s="8"/>
      <c r="E9" s="8"/>
      <c r="F9" s="4"/>
      <c r="G9" s="8"/>
      <c r="H9" s="8"/>
      <c r="I9" s="8"/>
      <c r="J9" s="13">
        <f>IF(AND(G9="Карта",H9="Оплачено"),F9,"")</f>
      </c>
      <c r="K9" s="14">
        <f>IF(AND(G9="Карта",H9="Не оплачено"),F9,"")</f>
      </c>
      <c r="L9" s="13">
        <f>IF(AND(G9="Наличные",H9="Оплачено"),F9,"")</f>
      </c>
      <c r="M9" s="14">
        <f>IF(AND(G9="Наличные",H9="Не оплачено"),F9,"")</f>
      </c>
      <c r="N9" s="13">
        <f>IF(AND(G9="Терминал",H9="Оплачено"),F9,"")</f>
      </c>
      <c r="O9" s="14">
        <f>IF(AND(G9="Терминал",H9="Не оплачено"),F9,"")</f>
      </c>
      <c r="P9" s="13">
        <f>IF(AND(G9="Перечисление",H9="Оплачено"),F9,"")</f>
      </c>
      <c r="Q9" s="14">
        <f>IF(AND(G9="Перечисление",H9="Не оплачено"),F9,"")</f>
      </c>
    </row>
    <row r="10">
      <c r="A10" s="9">
        <v>7</v>
      </c>
      <c r="B10" s="7"/>
      <c r="C10" s="6"/>
      <c r="D10" s="8"/>
      <c r="E10" s="8"/>
      <c r="F10" s="4"/>
      <c r="G10" s="8"/>
      <c r="H10" s="8"/>
      <c r="I10" s="8"/>
      <c r="J10" s="13">
        <f>IF(AND(G10="Карта",H10="Оплачено"),F10,"")</f>
      </c>
      <c r="K10" s="14">
        <f>IF(AND(G10="Карта",H10="Не оплачено"),F10,"")</f>
      </c>
      <c r="L10" s="13">
        <f>IF(AND(G10="Наличные",H10="Оплачено"),F10,"")</f>
      </c>
      <c r="M10" s="14">
        <f>IF(AND(G10="Наличные",H10="Не оплачено"),F10,"")</f>
      </c>
      <c r="N10" s="13">
        <f>IF(AND(G10="Терминал",H10="Оплачено"),F10,"")</f>
      </c>
      <c r="O10" s="14">
        <f>IF(AND(G10="Терминал",H10="Не оплачено"),F10,"")</f>
      </c>
      <c r="P10" s="13">
        <f>IF(AND(G10="Перечисление",H10="Оплачено"),F10,"")</f>
      </c>
      <c r="Q10" s="14">
        <f>IF(AND(G10="Перечисление",H10="Не оплачено"),F10,"")</f>
      </c>
    </row>
    <row r="11">
      <c r="A11" s="9">
        <v>8</v>
      </c>
      <c r="B11" s="7"/>
      <c r="C11" s="6"/>
      <c r="D11" s="8"/>
      <c r="E11" s="8"/>
      <c r="F11" s="4"/>
      <c r="G11" s="8"/>
      <c r="H11" s="8"/>
      <c r="I11" s="8"/>
      <c r="J11" s="13">
        <f>IF(AND(G11="Карта",H11="Оплачено"),F11,"")</f>
      </c>
      <c r="K11" s="14">
        <f>IF(AND(G11="Карта",H11="Не оплачено"),F11,"")</f>
      </c>
      <c r="L11" s="13">
        <f>IF(AND(G11="Наличные",H11="Оплачено"),F11,"")</f>
      </c>
      <c r="M11" s="14">
        <f>IF(AND(G11="Наличные",H11="Не оплачено"),F11,"")</f>
      </c>
      <c r="N11" s="13">
        <f>IF(AND(G11="Терминал",H11="Оплачено"),F11,"")</f>
      </c>
      <c r="O11" s="14">
        <f>IF(AND(G11="Терминал",H11="Не оплачено"),F11,"")</f>
      </c>
      <c r="P11" s="13">
        <f>IF(AND(G11="Перечисление",H11="Оплачено"),F11,"")</f>
      </c>
      <c r="Q11" s="14">
        <f>IF(AND(G11="Перечисление",H11="Не оплачено"),F11,"")</f>
      </c>
    </row>
    <row r="12">
      <c r="A12" s="9">
        <v>9</v>
      </c>
      <c r="B12" s="7"/>
      <c r="C12" s="6"/>
      <c r="D12" s="8"/>
      <c r="E12" s="8"/>
      <c r="F12" s="4"/>
      <c r="G12" s="8"/>
      <c r="H12" s="8"/>
      <c r="I12" s="8"/>
      <c r="J12" s="13">
        <f>IF(AND(G12="Карта",H12="Оплачено"),F12,"")</f>
      </c>
      <c r="K12" s="14">
        <f>IF(AND(G12="Карта",H12="Не оплачено"),F12,"")</f>
      </c>
      <c r="L12" s="13">
        <f>IF(AND(G12="Наличные",H12="Оплачено"),F12,"")</f>
      </c>
      <c r="M12" s="14">
        <f>IF(AND(G12="Наличные",H12="Не оплачено"),F12,"")</f>
      </c>
      <c r="N12" s="13">
        <f>IF(AND(G12="Терминал",H12="Оплачено"),F12,"")</f>
      </c>
      <c r="O12" s="14">
        <f>IF(AND(G12="Терминал",H12="Не оплачено"),F12,"")</f>
      </c>
      <c r="P12" s="13">
        <f>IF(AND(G12="Перечисление",H12="Оплачено"),F12,"")</f>
      </c>
      <c r="Q12" s="14">
        <f>IF(AND(G12="Перечисление",H12="Не оплачено"),F12,"")</f>
      </c>
    </row>
    <row r="13">
      <c r="A13" s="9">
        <v>10</v>
      </c>
      <c r="B13" s="7"/>
      <c r="C13" s="6"/>
      <c r="D13" s="8"/>
      <c r="E13" s="8"/>
      <c r="F13" s="4"/>
      <c r="G13" s="8"/>
      <c r="H13" s="8"/>
      <c r="I13" s="8"/>
      <c r="J13" s="13">
        <f>IF(AND(G13="Карта",H13="Оплачено"),F13,"")</f>
      </c>
      <c r="K13" s="14">
        <f>IF(AND(G13="Карта",H13="Не оплачено"),F13,"")</f>
      </c>
      <c r="L13" s="13">
        <f>IF(AND(G13="Наличные",H13="Оплачено"),F13,"")</f>
      </c>
      <c r="M13" s="14">
        <f>IF(AND(G13="Наличные",H13="Не оплачено"),F13,"")</f>
      </c>
      <c r="N13" s="13">
        <f>IF(AND(G13="Терминал",H13="Оплачено"),F13,"")</f>
      </c>
      <c r="O13" s="14">
        <f>IF(AND(G13="Терминал",H13="Не оплачено"),F13,"")</f>
      </c>
      <c r="P13" s="13">
        <f>IF(AND(G13="Перечисление",H13="Оплачено"),F13,"")</f>
      </c>
      <c r="Q13" s="14">
        <f>IF(AND(G13="Перечисление",H13="Не оплачено"),F13,"")</f>
      </c>
    </row>
    <row r="14">
      <c r="A14" s="9">
        <v>11</v>
      </c>
      <c r="B14" s="7"/>
      <c r="C14" s="6"/>
      <c r="D14" s="8"/>
      <c r="E14" s="8"/>
      <c r="F14" s="4"/>
      <c r="G14" s="8"/>
      <c r="H14" s="8"/>
      <c r="I14" s="8"/>
      <c r="J14" s="13">
        <f>IF(AND(G14="Карта",H14="Оплачено"),F14,"")</f>
      </c>
      <c r="K14" s="14">
        <f>IF(AND(G14="Карта",H14="Не оплачено"),F14,"")</f>
      </c>
      <c r="L14" s="13">
        <f>IF(AND(G14="Наличные",H14="Оплачено"),F14,"")</f>
      </c>
      <c r="M14" s="14">
        <f>IF(AND(G14="Наличные",H14="Не оплачено"),F14,"")</f>
      </c>
      <c r="N14" s="13">
        <f>IF(AND(G14="Терминал",H14="Оплачено"),F14,"")</f>
      </c>
      <c r="O14" s="14">
        <f>IF(AND(G14="Терминал",H14="Не оплачено"),F14,"")</f>
      </c>
      <c r="P14" s="13">
        <f>IF(AND(G14="Перечисление",H14="Оплачено"),F14,"")</f>
      </c>
      <c r="Q14" s="14">
        <f>IF(AND(G14="Перечисление",H14="Не оплачено"),F14,"")</f>
      </c>
    </row>
    <row r="15">
      <c r="A15" s="9">
        <v>12</v>
      </c>
      <c r="B15" s="7"/>
      <c r="C15" s="6"/>
      <c r="D15" s="8"/>
      <c r="E15" s="8"/>
      <c r="F15" s="4"/>
      <c r="G15" s="8"/>
      <c r="H15" s="8"/>
      <c r="I15" s="8"/>
      <c r="J15" s="13">
        <f>IF(AND(G15="Карта",H15="Оплачено"),F15,"")</f>
      </c>
      <c r="K15" s="14">
        <f>IF(AND(G15="Карта",H15="Не оплачено"),F15,"")</f>
      </c>
      <c r="L15" s="13">
        <f>IF(AND(G15="Наличные",H15="Оплачено"),F15,"")</f>
      </c>
      <c r="M15" s="14">
        <f>IF(AND(G15="Наличные",H15="Не оплачено"),F15,"")</f>
      </c>
      <c r="N15" s="13">
        <f>IF(AND(G15="Терминал",H15="Оплачено"),F15,"")</f>
      </c>
      <c r="O15" s="14">
        <f>IF(AND(G15="Терминал",H15="Не оплачено"),F15,"")</f>
      </c>
      <c r="P15" s="13">
        <f>IF(AND(G15="Перечисление",H15="Оплачено"),F15,"")</f>
      </c>
      <c r="Q15" s="14">
        <f>IF(AND(G15="Перечисление",H15="Не оплачено"),F15,"")</f>
      </c>
    </row>
    <row r="16">
      <c r="A16" s="9">
        <v>13</v>
      </c>
      <c r="B16" s="7"/>
      <c r="C16" s="6"/>
      <c r="D16" s="8"/>
      <c r="E16" s="8"/>
      <c r="F16" s="4"/>
      <c r="G16" s="8"/>
      <c r="H16" s="8"/>
      <c r="I16" s="8"/>
      <c r="J16" s="13">
        <f>IF(AND(G16="Карта",H16="Оплачено"),F16,"")</f>
      </c>
      <c r="K16" s="14">
        <f>IF(AND(G16="Карта",H16="Не оплачено"),F16,"")</f>
      </c>
      <c r="L16" s="13">
        <f>IF(AND(G16="Наличные",H16="Оплачено"),F16,"")</f>
      </c>
      <c r="M16" s="14">
        <f>IF(AND(G16="Наличные",H16="Не оплачено"),F16,"")</f>
      </c>
      <c r="N16" s="13">
        <f>IF(AND(G16="Терминал",H16="Оплачено"),F16,"")</f>
      </c>
      <c r="O16" s="14">
        <f>IF(AND(G16="Терминал",H16="Не оплачено"),F16,"")</f>
      </c>
      <c r="P16" s="13">
        <f>IF(AND(G16="Перечисление",H16="Оплачено"),F16,"")</f>
      </c>
      <c r="Q16" s="14">
        <f>IF(AND(G16="Перечисление",H16="Не оплачено"),F16,"")</f>
      </c>
    </row>
    <row r="17">
      <c r="A17" s="9">
        <v>14</v>
      </c>
      <c r="B17" s="7"/>
      <c r="C17" s="6"/>
      <c r="D17" s="8"/>
      <c r="E17" s="8"/>
      <c r="F17" s="4"/>
      <c r="G17" s="8"/>
      <c r="H17" s="8"/>
      <c r="I17" s="8"/>
      <c r="J17" s="13">
        <f>IF(AND(G17="Карта",H17="Оплачено"),F17,"")</f>
      </c>
      <c r="K17" s="14">
        <f>IF(AND(G17="Карта",H17="Не оплачено"),F17,"")</f>
      </c>
      <c r="L17" s="13">
        <f>IF(AND(G17="Наличные",H17="Оплачено"),F17,"")</f>
      </c>
      <c r="M17" s="14">
        <f>IF(AND(G17="Наличные",H17="Не оплачено"),F17,"")</f>
      </c>
      <c r="N17" s="13">
        <f>IF(AND(G17="Терминал",H17="Оплачено"),F17,"")</f>
      </c>
      <c r="O17" s="14">
        <f>IF(AND(G17="Терминал",H17="Не оплачено"),F17,"")</f>
      </c>
      <c r="P17" s="13">
        <f>IF(AND(G17="Перечисление",H17="Оплачено"),F17,"")</f>
      </c>
      <c r="Q17" s="14">
        <f>IF(AND(G17="Перечисление",H17="Не оплачено"),F17,"")</f>
      </c>
    </row>
    <row r="18">
      <c r="A18" s="9">
        <v>15</v>
      </c>
      <c r="B18" s="7"/>
      <c r="C18" s="6"/>
      <c r="D18" s="8"/>
      <c r="E18" s="8"/>
      <c r="F18" s="4"/>
      <c r="G18" s="8"/>
      <c r="H18" s="8"/>
      <c r="I18" s="8"/>
      <c r="J18" s="13">
        <f>IF(AND(G18="Карта",H18="Оплачено"),F18,"")</f>
      </c>
      <c r="K18" s="14">
        <f>IF(AND(G18="Карта",H18="Не оплачено"),F18,"")</f>
      </c>
      <c r="L18" s="13">
        <f>IF(AND(G18="Наличные",H18="Оплачено"),F18,"")</f>
      </c>
      <c r="M18" s="14">
        <f>IF(AND(G18="Наличные",H18="Не оплачено"),F18,"")</f>
      </c>
      <c r="N18" s="13">
        <f>IF(AND(G18="Терминал",H18="Оплачено"),F18,"")</f>
      </c>
      <c r="O18" s="14">
        <f>IF(AND(G18="Терминал",H18="Не оплачено"),F18,"")</f>
      </c>
      <c r="P18" s="13">
        <f>IF(AND(G18="Перечисление",H18="Оплачено"),F18,"")</f>
      </c>
      <c r="Q18" s="14">
        <f>IF(AND(G18="Перечисление",H18="Не оплачено"),F18,"")</f>
      </c>
    </row>
    <row r="19">
      <c r="A19" s="9">
        <v>16</v>
      </c>
      <c r="B19" s="7"/>
      <c r="C19" s="6"/>
      <c r="D19" s="8"/>
      <c r="E19" s="8"/>
      <c r="F19" s="4"/>
      <c r="G19" s="8"/>
      <c r="H19" s="8"/>
      <c r="I19" s="8"/>
      <c r="J19" s="13">
        <f>IF(AND(G19="Карта",H19="Оплачено"),F19,"")</f>
      </c>
      <c r="K19" s="14">
        <f>IF(AND(G19="Карта",H19="Не оплачено"),F19,"")</f>
      </c>
      <c r="L19" s="13">
        <f>IF(AND(G19="Наличные",H19="Оплачено"),F19,"")</f>
      </c>
      <c r="M19" s="14">
        <f>IF(AND(G19="Наличные",H19="Не оплачено"),F19,"")</f>
      </c>
      <c r="N19" s="13">
        <f>IF(AND(G19="Терминал",H19="Оплачено"),F19,"")</f>
      </c>
      <c r="O19" s="14">
        <f>IF(AND(G19="Терминал",H19="Не оплачено"),F19,"")</f>
      </c>
      <c r="P19" s="13">
        <f>IF(AND(G19="Перечисление",H19="Оплачено"),F19,"")</f>
      </c>
      <c r="Q19" s="14">
        <f>IF(AND(G19="Перечисление",H19="Не оплачено"),F19,"")</f>
      </c>
    </row>
    <row r="20">
      <c r="A20" s="9">
        <v>17</v>
      </c>
      <c r="B20" s="7"/>
      <c r="C20" s="6"/>
      <c r="D20" s="8"/>
      <c r="E20" s="8"/>
      <c r="F20" s="4"/>
      <c r="G20" s="8"/>
      <c r="H20" s="8"/>
      <c r="I20" s="8"/>
      <c r="J20" s="13">
        <f>IF(AND(G20="Карта",H20="Оплачено"),F20,"")</f>
      </c>
      <c r="K20" s="14">
        <f>IF(AND(G20="Карта",H20="Не оплачено"),F20,"")</f>
      </c>
      <c r="L20" s="13">
        <f>IF(AND(G20="Наличные",H20="Оплачено"),F20,"")</f>
      </c>
      <c r="M20" s="14">
        <f>IF(AND(G20="Наличные",H20="Не оплачено"),F20,"")</f>
      </c>
      <c r="N20" s="13">
        <f>IF(AND(G20="Терминал",H20="Оплачено"),F20,"")</f>
      </c>
      <c r="O20" s="14">
        <f>IF(AND(G20="Терминал",H20="Не оплачено"),F20,"")</f>
      </c>
      <c r="P20" s="13">
        <f>IF(AND(G20="Перечисление",H20="Оплачено"),F20,"")</f>
      </c>
      <c r="Q20" s="14">
        <f>IF(AND(G20="Перечисление",H20="Не оплачено"),F20,"")</f>
      </c>
    </row>
    <row r="21">
      <c r="A21" s="9">
        <v>18</v>
      </c>
      <c r="B21" s="7"/>
      <c r="C21" s="6"/>
      <c r="D21" s="8"/>
      <c r="E21" s="8"/>
      <c r="F21" s="4"/>
      <c r="G21" s="8"/>
      <c r="H21" s="8"/>
      <c r="I21" s="8"/>
      <c r="J21" s="13">
        <f>IF(AND(G21="Карта",H21="Оплачено"),F21,"")</f>
      </c>
      <c r="K21" s="14">
        <f>IF(AND(G21="Карта",H21="Не оплачено"),F21,"")</f>
      </c>
      <c r="L21" s="13">
        <f>IF(AND(G21="Наличные",H21="Оплачено"),F21,"")</f>
      </c>
      <c r="M21" s="14">
        <f>IF(AND(G21="Наличные",H21="Не оплачено"),F21,"")</f>
      </c>
      <c r="N21" s="13">
        <f>IF(AND(G21="Терминал",H21="Оплачено"),F21,"")</f>
      </c>
      <c r="O21" s="14">
        <f>IF(AND(G21="Терминал",H21="Не оплачено"),F21,"")</f>
      </c>
      <c r="P21" s="13">
        <f>IF(AND(G21="Перечисление",H21="Оплачено"),F21,"")</f>
      </c>
      <c r="Q21" s="14">
        <f>IF(AND(G21="Перечисление",H21="Не оплачено"),F21,"")</f>
      </c>
    </row>
    <row r="22">
      <c r="A22" s="9">
        <v>19</v>
      </c>
      <c r="B22" s="7"/>
      <c r="C22" s="6"/>
      <c r="D22" s="8"/>
      <c r="E22" s="8"/>
      <c r="F22" s="4"/>
      <c r="G22" s="8"/>
      <c r="H22" s="8"/>
      <c r="I22" s="8"/>
      <c r="J22" s="13">
        <f>IF(AND(G22="Карта",H22="Оплачено"),F22,"")</f>
      </c>
      <c r="K22" s="14">
        <f>IF(AND(G22="Карта",H22="Не оплачено"),F22,"")</f>
      </c>
      <c r="L22" s="13">
        <f>IF(AND(G22="Наличные",H22="Оплачено"),F22,"")</f>
      </c>
      <c r="M22" s="14">
        <f>IF(AND(G22="Наличные",H22="Не оплачено"),F22,"")</f>
      </c>
      <c r="N22" s="13">
        <f>IF(AND(G22="Терминал",H22="Оплачено"),F22,"")</f>
      </c>
      <c r="O22" s="14">
        <f>IF(AND(G22="Терминал",H22="Не оплачено"),F22,"")</f>
      </c>
      <c r="P22" s="13">
        <f>IF(AND(G22="Перечисление",H22="Оплачено"),F22,"")</f>
      </c>
      <c r="Q22" s="14">
        <f>IF(AND(G22="Перечисление",H22="Не оплачено"),F22,"")</f>
      </c>
    </row>
    <row r="23">
      <c r="A23" s="9">
        <v>20</v>
      </c>
      <c r="B23" s="7"/>
      <c r="C23" s="6"/>
      <c r="D23" s="8"/>
      <c r="E23" s="8"/>
      <c r="F23" s="4"/>
      <c r="G23" s="8"/>
      <c r="H23" s="8"/>
      <c r="I23" s="8"/>
      <c r="J23" s="13">
        <f>IF(AND(G23="Карта",H23="Оплачено"),F23,"")</f>
      </c>
      <c r="K23" s="14">
        <f>IF(AND(G23="Карта",H23="Не оплачено"),F23,"")</f>
      </c>
      <c r="L23" s="13">
        <f>IF(AND(G23="Наличные",H23="Оплачено"),F23,"")</f>
      </c>
      <c r="M23" s="14">
        <f>IF(AND(G23="Наличные",H23="Не оплачено"),F23,"")</f>
      </c>
      <c r="N23" s="13">
        <f>IF(AND(G23="Терминал",H23="Оплачено"),F23,"")</f>
      </c>
      <c r="O23" s="14">
        <f>IF(AND(G23="Терминал",H23="Не оплачено"),F23,"")</f>
      </c>
      <c r="P23" s="13">
        <f>IF(AND(G23="Перечисление",H23="Оплачено"),F23,"")</f>
      </c>
      <c r="Q23" s="14">
        <f>IF(AND(G23="Перечисление",H23="Не оплачено"),F23,"")</f>
      </c>
    </row>
    <row r="24">
      <c r="A24" s="9">
        <v>21</v>
      </c>
      <c r="B24" s="7"/>
      <c r="C24" s="6"/>
      <c r="D24" s="8"/>
      <c r="E24" s="8"/>
      <c r="F24" s="4"/>
      <c r="G24" s="8"/>
      <c r="H24" s="8"/>
      <c r="I24" s="8"/>
      <c r="J24" s="13">
        <f>IF(AND(G24="Карта",H24="Оплачено"),F24,"")</f>
      </c>
      <c r="K24" s="14">
        <f>IF(AND(G24="Карта",H24="Не оплачено"),F24,"")</f>
      </c>
      <c r="L24" s="13">
        <f>IF(AND(G24="Наличные",H24="Оплачено"),F24,"")</f>
      </c>
      <c r="M24" s="14">
        <f>IF(AND(G24="Наличные",H24="Не оплачено"),F24,"")</f>
      </c>
      <c r="N24" s="13">
        <f>IF(AND(G24="Терминал",H24="Оплачено"),F24,"")</f>
      </c>
      <c r="O24" s="14">
        <f>IF(AND(G24="Терминал",H24="Не оплачено"),F24,"")</f>
      </c>
      <c r="P24" s="13">
        <f>IF(AND(G24="Перечисление",H24="Оплачено"),F24,"")</f>
      </c>
      <c r="Q24" s="14">
        <f>IF(AND(G24="Перечисление",H24="Не оплачено"),F24,"")</f>
      </c>
    </row>
    <row r="25">
      <c r="A25" s="9">
        <v>22</v>
      </c>
      <c r="B25" s="7"/>
      <c r="C25" s="6"/>
      <c r="D25" s="8"/>
      <c r="E25" s="8"/>
      <c r="F25" s="4"/>
      <c r="G25" s="8"/>
      <c r="H25" s="8"/>
      <c r="I25" s="8"/>
      <c r="J25" s="13">
        <f>IF(AND(G25="Карта",H25="Оплачено"),F25,"")</f>
      </c>
      <c r="K25" s="14">
        <f>IF(AND(G25="Карта",H25="Не оплачено"),F25,"")</f>
      </c>
      <c r="L25" s="13">
        <f>IF(AND(G25="Наличные",H25="Оплачено"),F25,"")</f>
      </c>
      <c r="M25" s="14">
        <f>IF(AND(G25="Наличные",H25="Не оплачено"),F25,"")</f>
      </c>
      <c r="N25" s="13">
        <f>IF(AND(G25="Терминал",H25="Оплачено"),F25,"")</f>
      </c>
      <c r="O25" s="14">
        <f>IF(AND(G25="Терминал",H25="Не оплачено"),F25,"")</f>
      </c>
      <c r="P25" s="13">
        <f>IF(AND(G25="Перечисление",H25="Оплачено"),F25,"")</f>
      </c>
      <c r="Q25" s="14">
        <f>IF(AND(G25="Перечисление",H25="Не оплачено"),F25,"")</f>
      </c>
    </row>
    <row r="26">
      <c r="A26" s="9">
        <v>23</v>
      </c>
      <c r="B26" s="7"/>
      <c r="C26" s="6"/>
      <c r="D26" s="8"/>
      <c r="E26" s="8"/>
      <c r="F26" s="4"/>
      <c r="G26" s="8"/>
      <c r="H26" s="8"/>
      <c r="I26" s="8"/>
      <c r="J26" s="13">
        <f>IF(AND(G26="Карта",H26="Оплачено"),F26,"")</f>
      </c>
      <c r="K26" s="14">
        <f>IF(AND(G26="Карта",H26="Не оплачено"),F26,"")</f>
      </c>
      <c r="L26" s="13">
        <f>IF(AND(G26="Наличные",H26="Оплачено"),F26,"")</f>
      </c>
      <c r="M26" s="14">
        <f>IF(AND(G26="Наличные",H26="Не оплачено"),F26,"")</f>
      </c>
      <c r="N26" s="13">
        <f>IF(AND(G26="Терминал",H26="Оплачено"),F26,"")</f>
      </c>
      <c r="O26" s="14">
        <f>IF(AND(G26="Терминал",H26="Не оплачено"),F26,"")</f>
      </c>
      <c r="P26" s="13">
        <f>IF(AND(G26="Перечисление",H26="Оплачено"),F26,"")</f>
      </c>
      <c r="Q26" s="14">
        <f>IF(AND(G26="Перечисление",H26="Не оплачено"),F26,"")</f>
      </c>
    </row>
    <row r="27">
      <c r="A27" s="9">
        <v>24</v>
      </c>
      <c r="B27" s="7"/>
      <c r="C27" s="6"/>
      <c r="D27" s="8"/>
      <c r="E27" s="8"/>
      <c r="F27" s="4"/>
      <c r="G27" s="8"/>
      <c r="H27" s="8"/>
      <c r="I27" s="8"/>
      <c r="J27" s="13">
        <f>IF(AND(G27="Карта",H27="Оплачено"),F27,"")</f>
      </c>
      <c r="K27" s="14">
        <f>IF(AND(G27="Карта",H27="Не оплачено"),F27,"")</f>
      </c>
      <c r="L27" s="13">
        <f>IF(AND(G27="Наличные",H27="Оплачено"),F27,"")</f>
      </c>
      <c r="M27" s="14">
        <f>IF(AND(G27="Наличные",H27="Не оплачено"),F27,"")</f>
      </c>
      <c r="N27" s="13">
        <f>IF(AND(G27="Терминал",H27="Оплачено"),F27,"")</f>
      </c>
      <c r="O27" s="14">
        <f>IF(AND(G27="Терминал",H27="Не оплачено"),F27,"")</f>
      </c>
      <c r="P27" s="13">
        <f>IF(AND(G27="Перечисление",H27="Оплачено"),F27,"")</f>
      </c>
      <c r="Q27" s="14">
        <f>IF(AND(G27="Перечисление",H27="Не оплачено"),F27,"")</f>
      </c>
    </row>
    <row r="28">
      <c r="A28" s="9">
        <v>25</v>
      </c>
      <c r="B28" s="7"/>
      <c r="C28" s="6"/>
      <c r="D28" s="8"/>
      <c r="E28" s="8"/>
      <c r="F28" s="4"/>
      <c r="G28" s="8"/>
      <c r="H28" s="8"/>
      <c r="I28" s="8"/>
      <c r="J28" s="13">
        <f>IF(AND(G28="Карта",H28="Оплачено"),F28,"")</f>
      </c>
      <c r="K28" s="14">
        <f>IF(AND(G28="Карта",H28="Не оплачено"),F28,"")</f>
      </c>
      <c r="L28" s="13">
        <f>IF(AND(G28="Наличные",H28="Оплачено"),F28,"")</f>
      </c>
      <c r="M28" s="14">
        <f>IF(AND(G28="Наличные",H28="Не оплачено"),F28,"")</f>
      </c>
      <c r="N28" s="13">
        <f>IF(AND(G28="Терминал",H28="Оплачено"),F28,"")</f>
      </c>
      <c r="O28" s="14">
        <f>IF(AND(G28="Терминал",H28="Не оплачено"),F28,"")</f>
      </c>
      <c r="P28" s="13">
        <f>IF(AND(G28="Перечисление",H28="Оплачено"),F28,"")</f>
      </c>
      <c r="Q28" s="14">
        <f>IF(AND(G28="Перечисление",H28="Не оплачено"),F28,"")</f>
      </c>
    </row>
    <row r="29">
      <c r="A29" s="9">
        <v>26</v>
      </c>
      <c r="B29" s="7"/>
      <c r="C29" s="6"/>
      <c r="D29" s="8"/>
      <c r="E29" s="8"/>
      <c r="F29" s="4"/>
      <c r="G29" s="8"/>
      <c r="H29" s="8"/>
      <c r="I29" s="8"/>
      <c r="J29" s="13">
        <f>IF(AND(G29="Карта",H29="Оплачено"),F29,"")</f>
      </c>
      <c r="K29" s="14">
        <f>IF(AND(G29="Карта",H29="Не оплачено"),F29,"")</f>
      </c>
      <c r="L29" s="13">
        <f>IF(AND(G29="Наличные",H29="Оплачено"),F29,"")</f>
      </c>
      <c r="M29" s="14">
        <f>IF(AND(G29="Наличные",H29="Не оплачено"),F29,"")</f>
      </c>
      <c r="N29" s="13">
        <f>IF(AND(G29="Терминал",H29="Оплачено"),F29,"")</f>
      </c>
      <c r="O29" s="14">
        <f>IF(AND(G29="Терминал",H29="Не оплачено"),F29,"")</f>
      </c>
      <c r="P29" s="13">
        <f>IF(AND(G29="Перечисление",H29="Оплачено"),F29,"")</f>
      </c>
      <c r="Q29" s="14">
        <f>IF(AND(G29="Перечисление",H29="Не оплачено"),F29,"")</f>
      </c>
    </row>
    <row r="30">
      <c r="A30" s="9">
        <v>27</v>
      </c>
      <c r="B30" s="7"/>
      <c r="C30" s="6"/>
      <c r="D30" s="8"/>
      <c r="E30" s="8"/>
      <c r="F30" s="4"/>
      <c r="G30" s="8"/>
      <c r="H30" s="8"/>
      <c r="I30" s="8"/>
      <c r="J30" s="13">
        <f>IF(AND(G30="Карта",H30="Оплачено"),F30,"")</f>
      </c>
      <c r="K30" s="14">
        <f>IF(AND(G30="Карта",H30="Не оплачено"),F30,"")</f>
      </c>
      <c r="L30" s="13">
        <f>IF(AND(G30="Наличные",H30="Оплачено"),F30,"")</f>
      </c>
      <c r="M30" s="14">
        <f>IF(AND(G30="Наличные",H30="Не оплачено"),F30,"")</f>
      </c>
      <c r="N30" s="13">
        <f>IF(AND(G30="Терминал",H30="Оплачено"),F30,"")</f>
      </c>
      <c r="O30" s="14">
        <f>IF(AND(G30="Терминал",H30="Не оплачено"),F30,"")</f>
      </c>
      <c r="P30" s="13">
        <f>IF(AND(G30="Перечисление",H30="Оплачено"),F30,"")</f>
      </c>
      <c r="Q30" s="14">
        <f>IF(AND(G30="Перечисление",H30="Не оплачено"),F30,"")</f>
      </c>
    </row>
    <row r="31">
      <c r="A31" s="9">
        <v>28</v>
      </c>
      <c r="B31" s="7"/>
      <c r="C31" s="6"/>
      <c r="D31" s="8"/>
      <c r="E31" s="8"/>
      <c r="F31" s="4"/>
      <c r="G31" s="8"/>
      <c r="H31" s="8"/>
      <c r="I31" s="8"/>
      <c r="J31" s="13">
        <f>IF(AND(G31="Карта",H31="Оплачено"),F31,"")</f>
      </c>
      <c r="K31" s="14">
        <f>IF(AND(G31="Карта",H31="Не оплачено"),F31,"")</f>
      </c>
      <c r="L31" s="13">
        <f>IF(AND(G31="Наличные",H31="Оплачено"),F31,"")</f>
      </c>
      <c r="M31" s="14">
        <f>IF(AND(G31="Наличные",H31="Не оплачено"),F31,"")</f>
      </c>
      <c r="N31" s="13">
        <f>IF(AND(G31="Терминал",H31="Оплачено"),F31,"")</f>
      </c>
      <c r="O31" s="14">
        <f>IF(AND(G31="Терминал",H31="Не оплачено"),F31,"")</f>
      </c>
      <c r="P31" s="13">
        <f>IF(AND(G31="Перечисление",H31="Оплачено"),F31,"")</f>
      </c>
      <c r="Q31" s="14">
        <f>IF(AND(G31="Перечисление",H31="Не оплачено"),F31,"")</f>
      </c>
    </row>
    <row r="32">
      <c r="A32" s="9">
        <v>29</v>
      </c>
      <c r="B32" s="7"/>
      <c r="C32" s="6"/>
      <c r="D32" s="8"/>
      <c r="E32" s="8"/>
      <c r="F32" s="4"/>
      <c r="G32" s="8"/>
      <c r="H32" s="8"/>
      <c r="I32" s="8"/>
      <c r="J32" s="13">
        <f>IF(AND(G32="Карта",H32="Оплачено"),F32,"")</f>
      </c>
      <c r="K32" s="14">
        <f>IF(AND(G32="Карта",H32="Не оплачено"),F32,"")</f>
      </c>
      <c r="L32" s="13">
        <f>IF(AND(G32="Наличные",H32="Оплачено"),F32,"")</f>
      </c>
      <c r="M32" s="14">
        <f>IF(AND(G32="Наличные",H32="Не оплачено"),F32,"")</f>
      </c>
      <c r="N32" s="13">
        <f>IF(AND(G32="Терминал",H32="Оплачено"),F32,"")</f>
      </c>
      <c r="O32" s="14">
        <f>IF(AND(G32="Терминал",H32="Не оплачено"),F32,"")</f>
      </c>
      <c r="P32" s="13">
        <f>IF(AND(G32="Перечисление",H32="Оплачено"),F32,"")</f>
      </c>
      <c r="Q32" s="14">
        <f>IF(AND(G32="Перечисление",H32="Не оплачено"),F32,"")</f>
      </c>
    </row>
    <row r="33">
      <c r="A33" s="9">
        <v>30</v>
      </c>
      <c r="B33" s="7"/>
      <c r="C33" s="6"/>
      <c r="D33" s="8"/>
      <c r="E33" s="8"/>
      <c r="F33" s="4"/>
      <c r="G33" s="8"/>
      <c r="H33" s="8"/>
      <c r="I33" s="8"/>
      <c r="J33" s="13">
        <f>IF(AND(G33="Карта",H33="Оплачено"),F33,"")</f>
      </c>
      <c r="K33" s="14">
        <f>IF(AND(G33="Карта",H33="Не оплачено"),F33,"")</f>
      </c>
      <c r="L33" s="13">
        <f>IF(AND(G33="Наличные",H33="Оплачено"),F33,"")</f>
      </c>
      <c r="M33" s="14">
        <f>IF(AND(G33="Наличные",H33="Не оплачено"),F33,"")</f>
      </c>
      <c r="N33" s="13">
        <f>IF(AND(G33="Терминал",H33="Оплачено"),F33,"")</f>
      </c>
      <c r="O33" s="14">
        <f>IF(AND(G33="Терминал",H33="Не оплачено"),F33,"")</f>
      </c>
      <c r="P33" s="13">
        <f>IF(AND(G33="Перечисление",H33="Оплачено"),F33,"")</f>
      </c>
      <c r="Q33" s="14">
        <f>IF(AND(G33="Перечисление",H33="Не оплачено"),F33,"")</f>
      </c>
    </row>
    <row r="34">
      <c r="A34" s="9">
        <v>31</v>
      </c>
      <c r="B34" s="7"/>
      <c r="C34" s="6"/>
      <c r="D34" s="8"/>
      <c r="E34" s="8"/>
      <c r="F34" s="4"/>
      <c r="G34" s="8"/>
      <c r="H34" s="8"/>
      <c r="I34" s="8"/>
      <c r="J34" s="13">
        <f>IF(AND(G34="Карта",H34="Оплачено"),F34,"")</f>
      </c>
      <c r="K34" s="14">
        <f>IF(AND(G34="Карта",H34="Не оплачено"),F34,"")</f>
      </c>
      <c r="L34" s="13">
        <f>IF(AND(G34="Наличные",H34="Оплачено"),F34,"")</f>
      </c>
      <c r="M34" s="14">
        <f>IF(AND(G34="Наличные",H34="Не оплачено"),F34,"")</f>
      </c>
      <c r="N34" s="13">
        <f>IF(AND(G34="Терминал",H34="Оплачено"),F34,"")</f>
      </c>
      <c r="O34" s="14">
        <f>IF(AND(G34="Терминал",H34="Не оплачено"),F34,"")</f>
      </c>
      <c r="P34" s="13">
        <f>IF(AND(G34="Перечисление",H34="Оплачено"),F34,"")</f>
      </c>
      <c r="Q34" s="14">
        <f>IF(AND(G34="Перечисление",H34="Не оплачено"),F34,"")</f>
      </c>
    </row>
    <row r="35">
      <c r="A35" s="9">
        <v>32</v>
      </c>
      <c r="B35" s="7"/>
      <c r="C35" s="6"/>
      <c r="D35" s="8"/>
      <c r="E35" s="8"/>
      <c r="F35" s="4"/>
      <c r="G35" s="8"/>
      <c r="H35" s="8"/>
      <c r="I35" s="8"/>
      <c r="J35" s="13">
        <f>IF(AND(G35="Карта",H35="Оплачено"),F35,"")</f>
      </c>
      <c r="K35" s="14">
        <f>IF(AND(G35="Карта",H35="Не оплачено"),F35,"")</f>
      </c>
      <c r="L35" s="13">
        <f>IF(AND(G35="Наличные",H35="Оплачено"),F35,"")</f>
      </c>
      <c r="M35" s="14">
        <f>IF(AND(G35="Наличные",H35="Не оплачено"),F35,"")</f>
      </c>
      <c r="N35" s="13">
        <f>IF(AND(G35="Терминал",H35="Оплачено"),F35,"")</f>
      </c>
      <c r="O35" s="14">
        <f>IF(AND(G35="Терминал",H35="Не оплачено"),F35,"")</f>
      </c>
      <c r="P35" s="13">
        <f>IF(AND(G35="Перечисление",H35="Оплачено"),F35,"")</f>
      </c>
      <c r="Q35" s="14">
        <f>IF(AND(G35="Перечисление",H35="Не оплачено"),F35,"")</f>
      </c>
    </row>
    <row r="36">
      <c r="A36" s="9">
        <v>33</v>
      </c>
      <c r="B36" s="7"/>
      <c r="C36" s="6"/>
      <c r="D36" s="8"/>
      <c r="E36" s="8"/>
      <c r="F36" s="4"/>
      <c r="G36" s="8"/>
      <c r="H36" s="8"/>
      <c r="I36" s="8"/>
      <c r="J36" s="13">
        <f>IF(AND(G36="Карта",H36="Оплачено"),F36,"")</f>
      </c>
      <c r="K36" s="14">
        <f>IF(AND(G36="Карта",H36="Не оплачено"),F36,"")</f>
      </c>
      <c r="L36" s="13">
        <f>IF(AND(G36="Наличные",H36="Оплачено"),F36,"")</f>
      </c>
      <c r="M36" s="14">
        <f>IF(AND(G36="Наличные",H36="Не оплачено"),F36,"")</f>
      </c>
      <c r="N36" s="13">
        <f>IF(AND(G36="Терминал",H36="Оплачено"),F36,"")</f>
      </c>
      <c r="O36" s="14">
        <f>IF(AND(G36="Терминал",H36="Не оплачено"),F36,"")</f>
      </c>
      <c r="P36" s="13">
        <f>IF(AND(G36="Перечисление",H36="Оплачено"),F36,"")</f>
      </c>
      <c r="Q36" s="14">
        <f>IF(AND(G36="Перечисление",H36="Не оплачено"),F36,"")</f>
      </c>
    </row>
    <row r="37">
      <c r="A37" s="9">
        <v>34</v>
      </c>
      <c r="B37" s="7"/>
      <c r="C37" s="6"/>
      <c r="D37" s="8"/>
      <c r="E37" s="8"/>
      <c r="F37" s="4"/>
      <c r="G37" s="8"/>
      <c r="H37" s="8"/>
      <c r="I37" s="8"/>
      <c r="J37" s="13">
        <f>IF(AND(G37="Карта",H37="Оплачено"),F37,"")</f>
      </c>
      <c r="K37" s="14">
        <f>IF(AND(G37="Карта",H37="Не оплачено"),F37,"")</f>
      </c>
      <c r="L37" s="13">
        <f>IF(AND(G37="Наличные",H37="Оплачено"),F37,"")</f>
      </c>
      <c r="M37" s="14">
        <f>IF(AND(G37="Наличные",H37="Не оплачено"),F37,"")</f>
      </c>
      <c r="N37" s="13">
        <f>IF(AND(G37="Терминал",H37="Оплачено"),F37,"")</f>
      </c>
      <c r="O37" s="14">
        <f>IF(AND(G37="Терминал",H37="Не оплачено"),F37,"")</f>
      </c>
      <c r="P37" s="13">
        <f>IF(AND(G37="Перечисление",H37="Оплачено"),F37,"")</f>
      </c>
      <c r="Q37" s="14">
        <f>IF(AND(G37="Перечисление",H37="Не оплачено"),F37,"")</f>
      </c>
    </row>
    <row r="38">
      <c r="A38" s="9">
        <v>35</v>
      </c>
      <c r="B38" s="7"/>
      <c r="C38" s="6"/>
      <c r="D38" s="8"/>
      <c r="E38" s="8"/>
      <c r="F38" s="4"/>
      <c r="G38" s="8"/>
      <c r="H38" s="8"/>
      <c r="I38" s="8"/>
      <c r="J38" s="13">
        <f>IF(AND(G38="Карта",H38="Оплачено"),F38,"")</f>
      </c>
      <c r="K38" s="14">
        <f>IF(AND(G38="Карта",H38="Не оплачено"),F38,"")</f>
      </c>
      <c r="L38" s="13">
        <f>IF(AND(G38="Наличные",H38="Оплачено"),F38,"")</f>
      </c>
      <c r="M38" s="14">
        <f>IF(AND(G38="Наличные",H38="Не оплачено"),F38,"")</f>
      </c>
      <c r="N38" s="13">
        <f>IF(AND(G38="Терминал",H38="Оплачено"),F38,"")</f>
      </c>
      <c r="O38" s="14">
        <f>IF(AND(G38="Терминал",H38="Не оплачено"),F38,"")</f>
      </c>
      <c r="P38" s="13">
        <f>IF(AND(G38="Перечисление",H38="Оплачено"),F38,"")</f>
      </c>
      <c r="Q38" s="14">
        <f>IF(AND(G38="Перечисление",H38="Не оплачено"),F38,"")</f>
      </c>
    </row>
    <row r="39">
      <c r="A39" s="9">
        <v>36</v>
      </c>
      <c r="B39" s="7"/>
      <c r="C39" s="6"/>
      <c r="D39" s="8"/>
      <c r="E39" s="8"/>
      <c r="F39" s="4"/>
      <c r="G39" s="8"/>
      <c r="H39" s="8"/>
      <c r="I39" s="8"/>
      <c r="J39" s="13">
        <f>IF(AND(G39="Карта",H39="Оплачено"),F39,"")</f>
      </c>
      <c r="K39" s="14">
        <f>IF(AND(G39="Карта",H39="Не оплачено"),F39,"")</f>
      </c>
      <c r="L39" s="13">
        <f>IF(AND(G39="Наличные",H39="Оплачено"),F39,"")</f>
      </c>
      <c r="M39" s="14">
        <f>IF(AND(G39="Наличные",H39="Не оплачено"),F39,"")</f>
      </c>
      <c r="N39" s="13">
        <f>IF(AND(G39="Терминал",H39="Оплачено"),F39,"")</f>
      </c>
      <c r="O39" s="14">
        <f>IF(AND(G39="Терминал",H39="Не оплачено"),F39,"")</f>
      </c>
      <c r="P39" s="13">
        <f>IF(AND(G39="Перечисление",H39="Оплачено"),F39,"")</f>
      </c>
      <c r="Q39" s="14">
        <f>IF(AND(G39="Перечисление",H39="Не оплачено"),F39,"")</f>
      </c>
    </row>
    <row r="40">
      <c r="A40" s="9">
        <v>37</v>
      </c>
      <c r="B40" s="7"/>
      <c r="C40" s="6"/>
      <c r="D40" s="8"/>
      <c r="E40" s="8"/>
      <c r="F40" s="4"/>
      <c r="G40" s="8"/>
      <c r="H40" s="8"/>
      <c r="I40" s="8"/>
      <c r="J40" s="13">
        <f>IF(AND(G40="Карта",H40="Оплачено"),F40,"")</f>
      </c>
      <c r="K40" s="14">
        <f>IF(AND(G40="Карта",H40="Не оплачено"),F40,"")</f>
      </c>
      <c r="L40" s="13">
        <f>IF(AND(G40="Наличные",H40="Оплачено"),F40,"")</f>
      </c>
      <c r="M40" s="14">
        <f>IF(AND(G40="Наличные",H40="Не оплачено"),F40,"")</f>
      </c>
      <c r="N40" s="13">
        <f>IF(AND(G40="Терминал",H40="Оплачено"),F40,"")</f>
      </c>
      <c r="O40" s="14">
        <f>IF(AND(G40="Терминал",H40="Не оплачено"),F40,"")</f>
      </c>
      <c r="P40" s="13">
        <f>IF(AND(G40="Перечисление",H40="Оплачено"),F40,"")</f>
      </c>
      <c r="Q40" s="14">
        <f>IF(AND(G40="Перечисление",H40="Не оплачено"),F40,"")</f>
      </c>
    </row>
    <row r="41">
      <c r="A41" s="9">
        <v>38</v>
      </c>
      <c r="B41" s="7"/>
      <c r="C41" s="6"/>
      <c r="D41" s="8"/>
      <c r="E41" s="8"/>
      <c r="F41" s="4"/>
      <c r="G41" s="8"/>
      <c r="H41" s="8"/>
      <c r="I41" s="8"/>
      <c r="J41" s="13">
        <f>IF(AND(G41="Карта",H41="Оплачено"),F41,"")</f>
      </c>
      <c r="K41" s="14">
        <f>IF(AND(G41="Карта",H41="Не оплачено"),F41,"")</f>
      </c>
      <c r="L41" s="13">
        <f>IF(AND(G41="Наличные",H41="Оплачено"),F41,"")</f>
      </c>
      <c r="M41" s="14">
        <f>IF(AND(G41="Наличные",H41="Не оплачено"),F41,"")</f>
      </c>
      <c r="N41" s="13">
        <f>IF(AND(G41="Терминал",H41="Оплачено"),F41,"")</f>
      </c>
      <c r="O41" s="14">
        <f>IF(AND(G41="Терминал",H41="Не оплачено"),F41,"")</f>
      </c>
      <c r="P41" s="13">
        <f>IF(AND(G41="Перечисление",H41="Оплачено"),F41,"")</f>
      </c>
      <c r="Q41" s="14">
        <f>IF(AND(G41="Перечисление",H41="Не оплачено"),F41,"")</f>
      </c>
    </row>
    <row r="42">
      <c r="A42" s="9">
        <v>39</v>
      </c>
      <c r="B42" s="7"/>
      <c r="C42" s="6"/>
      <c r="D42" s="8"/>
      <c r="E42" s="8"/>
      <c r="F42" s="4"/>
      <c r="G42" s="8"/>
      <c r="H42" s="8"/>
      <c r="I42" s="8"/>
      <c r="J42" s="13">
        <f>IF(AND(G42="Карта",H42="Оплачено"),F42,"")</f>
      </c>
      <c r="K42" s="14">
        <f>IF(AND(G42="Карта",H42="Не оплачено"),F42,"")</f>
      </c>
      <c r="L42" s="13">
        <f>IF(AND(G42="Наличные",H42="Оплачено"),F42,"")</f>
      </c>
      <c r="M42" s="14">
        <f>IF(AND(G42="Наличные",H42="Не оплачено"),F42,"")</f>
      </c>
      <c r="N42" s="13">
        <f>IF(AND(G42="Терминал",H42="Оплачено"),F42,"")</f>
      </c>
      <c r="O42" s="14">
        <f>IF(AND(G42="Терминал",H42="Не оплачено"),F42,"")</f>
      </c>
      <c r="P42" s="13">
        <f>IF(AND(G42="Перечисление",H42="Оплачено"),F42,"")</f>
      </c>
      <c r="Q42" s="14">
        <f>IF(AND(G42="Перечисление",H42="Не оплачено"),F42,"")</f>
      </c>
    </row>
    <row r="43">
      <c r="A43" s="9">
        <v>40</v>
      </c>
      <c r="B43" s="7"/>
      <c r="C43" s="6"/>
      <c r="D43" s="8"/>
      <c r="E43" s="8"/>
      <c r="F43" s="4"/>
      <c r="G43" s="8"/>
      <c r="H43" s="8"/>
      <c r="I43" s="8"/>
      <c r="J43" s="13">
        <f>IF(AND(G43="Карта",H43="Оплачено"),F43,"")</f>
      </c>
      <c r="K43" s="14">
        <f>IF(AND(G43="Карта",H43="Не оплачено"),F43,"")</f>
      </c>
      <c r="L43" s="13">
        <f>IF(AND(G43="Наличные",H43="Оплачено"),F43,"")</f>
      </c>
      <c r="M43" s="14">
        <f>IF(AND(G43="Наличные",H43="Не оплачено"),F43,"")</f>
      </c>
      <c r="N43" s="13">
        <f>IF(AND(G43="Терминал",H43="Оплачено"),F43,"")</f>
      </c>
      <c r="O43" s="14">
        <f>IF(AND(G43="Терминал",H43="Не оплачено"),F43,"")</f>
      </c>
      <c r="P43" s="13">
        <f>IF(AND(G43="Перечисление",H43="Оплачено"),F43,"")</f>
      </c>
      <c r="Q43" s="14">
        <f>IF(AND(G43="Перечисление",H43="Не оплачено"),F43,"")</f>
      </c>
    </row>
    <row r="44">
      <c r="A44" s="9">
        <v>41</v>
      </c>
      <c r="B44" s="7"/>
      <c r="C44" s="6"/>
      <c r="D44" s="8"/>
      <c r="E44" s="8"/>
      <c r="F44" s="4"/>
      <c r="G44" s="8"/>
      <c r="H44" s="8"/>
      <c r="I44" s="8"/>
      <c r="J44" s="13">
        <f>IF(AND(G44="Карта",H44="Оплачено"),F44,"")</f>
      </c>
      <c r="K44" s="14">
        <f>IF(AND(G44="Карта",H44="Не оплачено"),F44,"")</f>
      </c>
      <c r="L44" s="13">
        <f>IF(AND(G44="Наличные",H44="Оплачено"),F44,"")</f>
      </c>
      <c r="M44" s="14">
        <f>IF(AND(G44="Наличные",H44="Не оплачено"),F44,"")</f>
      </c>
      <c r="N44" s="13">
        <f>IF(AND(G44="Терминал",H44="Оплачено"),F44,"")</f>
      </c>
      <c r="O44" s="14">
        <f>IF(AND(G44="Терминал",H44="Не оплачено"),F44,"")</f>
      </c>
      <c r="P44" s="13">
        <f>IF(AND(G44="Перечисление",H44="Оплачено"),F44,"")</f>
      </c>
      <c r="Q44" s="14">
        <f>IF(AND(G44="Перечисление",H44="Не оплачено"),F44,"")</f>
      </c>
    </row>
    <row r="45">
      <c r="A45" s="9">
        <v>42</v>
      </c>
      <c r="B45" s="7"/>
      <c r="C45" s="6"/>
      <c r="D45" s="8"/>
      <c r="E45" s="8"/>
      <c r="F45" s="4"/>
      <c r="G45" s="8"/>
      <c r="H45" s="8"/>
      <c r="I45" s="8"/>
      <c r="J45" s="13">
        <f>IF(AND(G45="Карта",H45="Оплачено"),F45,"")</f>
      </c>
      <c r="K45" s="14">
        <f>IF(AND(G45="Карта",H45="Не оплачено"),F45,"")</f>
      </c>
      <c r="L45" s="13">
        <f>IF(AND(G45="Наличные",H45="Оплачено"),F45,"")</f>
      </c>
      <c r="M45" s="14">
        <f>IF(AND(G45="Наличные",H45="Не оплачено"),F45,"")</f>
      </c>
      <c r="N45" s="13">
        <f>IF(AND(G45="Терминал",H45="Оплачено"),F45,"")</f>
      </c>
      <c r="O45" s="14">
        <f>IF(AND(G45="Терминал",H45="Не оплачено"),F45,"")</f>
      </c>
      <c r="P45" s="13">
        <f>IF(AND(G45="Перечисление",H45="Оплачено"),F45,"")</f>
      </c>
      <c r="Q45" s="14">
        <f>IF(AND(G45="Перечисление",H45="Не оплачено"),F45,"")</f>
      </c>
    </row>
    <row r="46">
      <c r="A46" s="9">
        <v>43</v>
      </c>
      <c r="B46" s="7"/>
      <c r="C46" s="6"/>
      <c r="D46" s="8"/>
      <c r="E46" s="8"/>
      <c r="F46" s="4"/>
      <c r="G46" s="8"/>
      <c r="H46" s="8"/>
      <c r="I46" s="8"/>
      <c r="J46" s="13">
        <f>IF(AND(G46="Карта",H46="Оплачено"),F46,"")</f>
      </c>
      <c r="K46" s="14">
        <f>IF(AND(G46="Карта",H46="Не оплачено"),F46,"")</f>
      </c>
      <c r="L46" s="13">
        <f>IF(AND(G46="Наличные",H46="Оплачено"),F46,"")</f>
      </c>
      <c r="M46" s="14">
        <f>IF(AND(G46="Наличные",H46="Не оплачено"),F46,"")</f>
      </c>
      <c r="N46" s="13">
        <f>IF(AND(G46="Терминал",H46="Оплачено"),F46,"")</f>
      </c>
      <c r="O46" s="14">
        <f>IF(AND(G46="Терминал",H46="Не оплачено"),F46,"")</f>
      </c>
      <c r="P46" s="13">
        <f>IF(AND(G46="Перечисление",H46="Оплачено"),F46,"")</f>
      </c>
      <c r="Q46" s="14">
        <f>IF(AND(G46="Перечисление",H46="Не оплачено"),F46,"")</f>
      </c>
    </row>
    <row r="47">
      <c r="A47" s="9">
        <v>44</v>
      </c>
      <c r="B47" s="7"/>
      <c r="C47" s="6"/>
      <c r="D47" s="8"/>
      <c r="E47" s="8"/>
      <c r="F47" s="4"/>
      <c r="G47" s="8"/>
      <c r="H47" s="8"/>
      <c r="I47" s="8"/>
      <c r="J47" s="13">
        <f>IF(AND(G47="Карта",H47="Оплачено"),F47,"")</f>
      </c>
      <c r="K47" s="14">
        <f>IF(AND(G47="Карта",H47="Не оплачено"),F47,"")</f>
      </c>
      <c r="L47" s="13">
        <f>IF(AND(G47="Наличные",H47="Оплачено"),F47,"")</f>
      </c>
      <c r="M47" s="14">
        <f>IF(AND(G47="Наличные",H47="Не оплачено"),F47,"")</f>
      </c>
      <c r="N47" s="13">
        <f>IF(AND(G47="Терминал",H47="Оплачено"),F47,"")</f>
      </c>
      <c r="O47" s="14">
        <f>IF(AND(G47="Терминал",H47="Не оплачено"),F47,"")</f>
      </c>
      <c r="P47" s="13">
        <f>IF(AND(G47="Перечисление",H47="Оплачено"),F47,"")</f>
      </c>
      <c r="Q47" s="14">
        <f>IF(AND(G47="Перечисление",H47="Не оплачено"),F47,"")</f>
      </c>
    </row>
    <row r="48">
      <c r="A48" s="9">
        <v>45</v>
      </c>
      <c r="B48" s="7"/>
      <c r="C48" s="6"/>
      <c r="D48" s="8"/>
      <c r="E48" s="8"/>
      <c r="F48" s="4"/>
      <c r="G48" s="8"/>
      <c r="H48" s="8"/>
      <c r="I48" s="8"/>
      <c r="J48" s="13">
        <f>IF(AND(G48="Карта",H48="Оплачено"),F48,"")</f>
      </c>
      <c r="K48" s="14">
        <f>IF(AND(G48="Карта",H48="Не оплачено"),F48,"")</f>
      </c>
      <c r="L48" s="13">
        <f>IF(AND(G48="Наличные",H48="Оплачено"),F48,"")</f>
      </c>
      <c r="M48" s="14">
        <f>IF(AND(G48="Наличные",H48="Не оплачено"),F48,"")</f>
      </c>
      <c r="N48" s="13">
        <f>IF(AND(G48="Терминал",H48="Оплачено"),F48,"")</f>
      </c>
      <c r="O48" s="14">
        <f>IF(AND(G48="Терминал",H48="Не оплачено"),F48,"")</f>
      </c>
      <c r="P48" s="13">
        <f>IF(AND(G48="Перечисление",H48="Оплачено"),F48,"")</f>
      </c>
      <c r="Q48" s="14">
        <f>IF(AND(G48="Перечисление",H48="Не оплачено"),F48,"")</f>
      </c>
    </row>
    <row r="49">
      <c r="A49" s="9">
        <v>46</v>
      </c>
      <c r="B49" s="7"/>
      <c r="C49" s="6"/>
      <c r="D49" s="8"/>
      <c r="E49" s="8"/>
      <c r="F49" s="4"/>
      <c r="G49" s="8"/>
      <c r="H49" s="8"/>
      <c r="I49" s="8"/>
      <c r="J49" s="13">
        <f>IF(AND(G49="Карта",H49="Оплачено"),F49,"")</f>
      </c>
      <c r="K49" s="14">
        <f>IF(AND(G49="Карта",H49="Не оплачено"),F49,"")</f>
      </c>
      <c r="L49" s="13">
        <f>IF(AND(G49="Наличные",H49="Оплачено"),F49,"")</f>
      </c>
      <c r="M49" s="14">
        <f>IF(AND(G49="Наличные",H49="Не оплачено"),F49,"")</f>
      </c>
      <c r="N49" s="13">
        <f>IF(AND(G49="Терминал",H49="Оплачено"),F49,"")</f>
      </c>
      <c r="O49" s="14">
        <f>IF(AND(G49="Терминал",H49="Не оплачено"),F49,"")</f>
      </c>
      <c r="P49" s="13">
        <f>IF(AND(G49="Перечисление",H49="Оплачено"),F49,"")</f>
      </c>
      <c r="Q49" s="14">
        <f>IF(AND(G49="Перечисление",H49="Не оплачено"),F49,"")</f>
      </c>
    </row>
    <row r="50">
      <c r="A50" s="9">
        <v>47</v>
      </c>
      <c r="B50" s="7"/>
      <c r="C50" s="6"/>
      <c r="D50" s="8"/>
      <c r="E50" s="8"/>
      <c r="F50" s="4"/>
      <c r="G50" s="8"/>
      <c r="H50" s="8"/>
      <c r="I50" s="8"/>
      <c r="J50" s="13">
        <f>IF(AND(G50="Карта",H50="Оплачено"),F50,"")</f>
      </c>
      <c r="K50" s="14">
        <f>IF(AND(G50="Карта",H50="Не оплачено"),F50,"")</f>
      </c>
      <c r="L50" s="13">
        <f>IF(AND(G50="Наличные",H50="Оплачено"),F50,"")</f>
      </c>
      <c r="M50" s="14">
        <f>IF(AND(G50="Наличные",H50="Не оплачено"),F50,"")</f>
      </c>
      <c r="N50" s="13">
        <f>IF(AND(G50="Терминал",H50="Оплачено"),F50,"")</f>
      </c>
      <c r="O50" s="14">
        <f>IF(AND(G50="Терминал",H50="Не оплачено"),F50,"")</f>
      </c>
      <c r="P50" s="13">
        <f>IF(AND(G50="Перечисление",H50="Оплачено"),F50,"")</f>
      </c>
      <c r="Q50" s="14">
        <f>IF(AND(G50="Перечисление",H50="Не оплачено"),F50,"")</f>
      </c>
    </row>
    <row r="51">
      <c r="A51" s="9">
        <v>48</v>
      </c>
      <c r="B51" s="7"/>
      <c r="C51" s="6"/>
      <c r="D51" s="8"/>
      <c r="E51" s="8"/>
      <c r="F51" s="4"/>
      <c r="G51" s="8"/>
      <c r="H51" s="8"/>
      <c r="I51" s="8"/>
      <c r="J51" s="13">
        <f>IF(AND(G51="Карта",H51="Оплачено"),F51,"")</f>
      </c>
      <c r="K51" s="14">
        <f>IF(AND(G51="Карта",H51="Не оплачено"),F51,"")</f>
      </c>
      <c r="L51" s="13">
        <f>IF(AND(G51="Наличные",H51="Оплачено"),F51,"")</f>
      </c>
      <c r="M51" s="14">
        <f>IF(AND(G51="Наличные",H51="Не оплачено"),F51,"")</f>
      </c>
      <c r="N51" s="13">
        <f>IF(AND(G51="Терминал",H51="Оплачено"),F51,"")</f>
      </c>
      <c r="O51" s="14">
        <f>IF(AND(G51="Терминал",H51="Не оплачено"),F51,"")</f>
      </c>
      <c r="P51" s="13">
        <f>IF(AND(G51="Перечисление",H51="Оплачено"),F51,"")</f>
      </c>
      <c r="Q51" s="14">
        <f>IF(AND(G51="Перечисление",H51="Не оплачено"),F51,"")</f>
      </c>
    </row>
    <row r="52">
      <c r="A52" s="9">
        <v>49</v>
      </c>
      <c r="B52" s="7"/>
      <c r="C52" s="6"/>
      <c r="D52" s="8"/>
      <c r="E52" s="8"/>
      <c r="F52" s="4"/>
      <c r="G52" s="8"/>
      <c r="H52" s="8"/>
      <c r="I52" s="8"/>
      <c r="J52" s="13">
        <f>IF(AND(G52="Карта",H52="Оплачено"),F52,"")</f>
      </c>
      <c r="K52" s="14">
        <f>IF(AND(G52="Карта",H52="Не оплачено"),F52,"")</f>
      </c>
      <c r="L52" s="13">
        <f>IF(AND(G52="Наличные",H52="Оплачено"),F52,"")</f>
      </c>
      <c r="M52" s="14">
        <f>IF(AND(G52="Наличные",H52="Не оплачено"),F52,"")</f>
      </c>
      <c r="N52" s="13">
        <f>IF(AND(G52="Терминал",H52="Оплачено"),F52,"")</f>
      </c>
      <c r="O52" s="14">
        <f>IF(AND(G52="Терминал",H52="Не оплачено"),F52,"")</f>
      </c>
      <c r="P52" s="13">
        <f>IF(AND(G52="Перечисление",H52="Оплачено"),F52,"")</f>
      </c>
      <c r="Q52" s="14">
        <f>IF(AND(G52="Перечисление",H52="Не оплачено"),F52,"")</f>
      </c>
    </row>
    <row r="53">
      <c r="A53" s="9">
        <v>50</v>
      </c>
      <c r="B53" s="7"/>
      <c r="C53" s="6"/>
      <c r="D53" s="8"/>
      <c r="E53" s="8"/>
      <c r="F53" s="4"/>
      <c r="G53" s="8"/>
      <c r="H53" s="8"/>
      <c r="I53" s="8"/>
      <c r="J53" s="13">
        <f>IF(AND(G53="Карта",H53="Оплачено"),F53,"")</f>
      </c>
      <c r="K53" s="14">
        <f>IF(AND(G53="Карта",H53="Не оплачено"),F53,"")</f>
      </c>
      <c r="L53" s="13">
        <f>IF(AND(G53="Наличные",H53="Оплачено"),F53,"")</f>
      </c>
      <c r="M53" s="14">
        <f>IF(AND(G53="Наличные",H53="Не оплачено"),F53,"")</f>
      </c>
      <c r="N53" s="13">
        <f>IF(AND(G53="Терминал",H53="Оплачено"),F53,"")</f>
      </c>
      <c r="O53" s="14">
        <f>IF(AND(G53="Терминал",H53="Не оплачено"),F53,"")</f>
      </c>
      <c r="P53" s="13">
        <f>IF(AND(G53="Перечисление",H53="Оплачено"),F53,"")</f>
      </c>
      <c r="Q53" s="14">
        <f>IF(AND(G53="Перечисление",H53="Не оплачено"),F53,"")</f>
      </c>
    </row>
    <row r="54">
      <c r="A54" s="9">
        <v>51</v>
      </c>
      <c r="B54" s="7"/>
      <c r="C54" s="6"/>
      <c r="D54" s="8"/>
      <c r="E54" s="8"/>
      <c r="F54" s="4"/>
      <c r="G54" s="8"/>
      <c r="H54" s="8"/>
      <c r="I54" s="8"/>
      <c r="J54" s="13">
        <f>IF(AND(G54="Карта",H54="Оплачено"),F54,"")</f>
      </c>
      <c r="K54" s="14">
        <f>IF(AND(G54="Карта",H54="Не оплачено"),F54,"")</f>
      </c>
      <c r="L54" s="13">
        <f>IF(AND(G54="Наличные",H54="Оплачено"),F54,"")</f>
      </c>
      <c r="M54" s="14">
        <f>IF(AND(G54="Наличные",H54="Не оплачено"),F54,"")</f>
      </c>
      <c r="N54" s="13">
        <f>IF(AND(G54="Терминал",H54="Оплачено"),F54,"")</f>
      </c>
      <c r="O54" s="14">
        <f>IF(AND(G54="Терминал",H54="Не оплачено"),F54,"")</f>
      </c>
      <c r="P54" s="13">
        <f>IF(AND(G54="Перечисление",H54="Оплачено"),F54,"")</f>
      </c>
      <c r="Q54" s="14">
        <f>IF(AND(G54="Перечисление",H54="Не оплачено"),F54,"")</f>
      </c>
    </row>
    <row r="55">
      <c r="A55" s="9">
        <v>52</v>
      </c>
      <c r="B55" s="7"/>
      <c r="C55" s="6"/>
      <c r="D55" s="8"/>
      <c r="E55" s="8"/>
      <c r="F55" s="4"/>
      <c r="G55" s="8"/>
      <c r="H55" s="8"/>
      <c r="I55" s="8"/>
      <c r="J55" s="13">
        <f>IF(AND(G55="Карта",H55="Оплачено"),F55,"")</f>
      </c>
      <c r="K55" s="14">
        <f>IF(AND(G55="Карта",H55="Не оплачено"),F55,"")</f>
      </c>
      <c r="L55" s="13">
        <f>IF(AND(G55="Наличные",H55="Оплачено"),F55,"")</f>
      </c>
      <c r="M55" s="14">
        <f>IF(AND(G55="Наличные",H55="Не оплачено"),F55,"")</f>
      </c>
      <c r="N55" s="13">
        <f>IF(AND(G55="Терминал",H55="Оплачено"),F55,"")</f>
      </c>
      <c r="O55" s="14">
        <f>IF(AND(G55="Терминал",H55="Не оплачено"),F55,"")</f>
      </c>
      <c r="P55" s="13">
        <f>IF(AND(G55="Перечисление",H55="Оплачено"),F55,"")</f>
      </c>
      <c r="Q55" s="14">
        <f>IF(AND(G55="Перечисление",H55="Не оплачено"),F55,"")</f>
      </c>
    </row>
    <row r="56">
      <c r="A56" s="9">
        <v>53</v>
      </c>
      <c r="B56" s="7"/>
      <c r="C56" s="6"/>
      <c r="D56" s="8"/>
      <c r="E56" s="8"/>
      <c r="F56" s="4"/>
      <c r="G56" s="8"/>
      <c r="H56" s="8"/>
      <c r="I56" s="8"/>
      <c r="J56" s="13">
        <f>IF(AND(G56="Карта",H56="Оплачено"),F56,"")</f>
      </c>
      <c r="K56" s="14">
        <f>IF(AND(G56="Карта",H56="Не оплачено"),F56,"")</f>
      </c>
      <c r="L56" s="13">
        <f>IF(AND(G56="Наличные",H56="Оплачено"),F56,"")</f>
      </c>
      <c r="M56" s="14">
        <f>IF(AND(G56="Наличные",H56="Не оплачено"),F56,"")</f>
      </c>
      <c r="N56" s="13">
        <f>IF(AND(G56="Терминал",H56="Оплачено"),F56,"")</f>
      </c>
      <c r="O56" s="14">
        <f>IF(AND(G56="Терминал",H56="Не оплачено"),F56,"")</f>
      </c>
      <c r="P56" s="13">
        <f>IF(AND(G56="Перечисление",H56="Оплачено"),F56,"")</f>
      </c>
      <c r="Q56" s="14">
        <f>IF(AND(G56="Перечисление",H56="Не оплачено"),F56,"")</f>
      </c>
    </row>
    <row r="57">
      <c r="A57" s="9">
        <v>54</v>
      </c>
      <c r="B57" s="7"/>
      <c r="C57" s="6"/>
      <c r="D57" s="8"/>
      <c r="E57" s="8"/>
      <c r="F57" s="4"/>
      <c r="G57" s="8"/>
      <c r="H57" s="8"/>
      <c r="I57" s="8"/>
      <c r="J57" s="13">
        <f>IF(AND(G57="Карта",H57="Оплачено"),F57,"")</f>
      </c>
      <c r="K57" s="14">
        <f>IF(AND(G57="Карта",H57="Не оплачено"),F57,"")</f>
      </c>
      <c r="L57" s="13">
        <f>IF(AND(G57="Наличные",H57="Оплачено"),F57,"")</f>
      </c>
      <c r="M57" s="14">
        <f>IF(AND(G57="Наличные",H57="Не оплачено"),F57,"")</f>
      </c>
      <c r="N57" s="13">
        <f>IF(AND(G57="Терминал",H57="Оплачено"),F57,"")</f>
      </c>
      <c r="O57" s="14">
        <f>IF(AND(G57="Терминал",H57="Не оплачено"),F57,"")</f>
      </c>
      <c r="P57" s="13">
        <f>IF(AND(G57="Перечисление",H57="Оплачено"),F57,"")</f>
      </c>
      <c r="Q57" s="14">
        <f>IF(AND(G57="Перечисление",H57="Не оплачено"),F57,"")</f>
      </c>
    </row>
    <row r="58">
      <c r="A58" s="9">
        <v>55</v>
      </c>
      <c r="B58" s="7"/>
      <c r="C58" s="6"/>
      <c r="D58" s="8"/>
      <c r="E58" s="8"/>
      <c r="F58" s="4"/>
      <c r="G58" s="8"/>
      <c r="H58" s="8"/>
      <c r="I58" s="8"/>
      <c r="J58" s="13">
        <f>IF(AND(G58="Карта",H58="Оплачено"),F58,"")</f>
      </c>
      <c r="K58" s="14">
        <f>IF(AND(G58="Карта",H58="Не оплачено"),F58,"")</f>
      </c>
      <c r="L58" s="13">
        <f>IF(AND(G58="Наличные",H58="Оплачено"),F58,"")</f>
      </c>
      <c r="M58" s="14">
        <f>IF(AND(G58="Наличные",H58="Не оплачено"),F58,"")</f>
      </c>
      <c r="N58" s="13">
        <f>IF(AND(G58="Терминал",H58="Оплачено"),F58,"")</f>
      </c>
      <c r="O58" s="14">
        <f>IF(AND(G58="Терминал",H58="Не оплачено"),F58,"")</f>
      </c>
      <c r="P58" s="13">
        <f>IF(AND(G58="Перечисление",H58="Оплачено"),F58,"")</f>
      </c>
      <c r="Q58" s="14">
        <f>IF(AND(G58="Перечисление",H58="Не оплачено"),F58,"")</f>
      </c>
    </row>
    <row r="59">
      <c r="A59" s="9">
        <v>56</v>
      </c>
      <c r="B59" s="7"/>
      <c r="C59" s="6"/>
      <c r="D59" s="8"/>
      <c r="E59" s="8"/>
      <c r="F59" s="4"/>
      <c r="G59" s="8"/>
      <c r="H59" s="8"/>
      <c r="I59" s="8"/>
      <c r="J59" s="13">
        <f>IF(AND(G59="Карта",H59="Оплачено"),F59,"")</f>
      </c>
      <c r="K59" s="14">
        <f>IF(AND(G59="Карта",H59="Не оплачено"),F59,"")</f>
      </c>
      <c r="L59" s="13">
        <f>IF(AND(G59="Наличные",H59="Оплачено"),F59,"")</f>
      </c>
      <c r="M59" s="14">
        <f>IF(AND(G59="Наличные",H59="Не оплачено"),F59,"")</f>
      </c>
      <c r="N59" s="13">
        <f>IF(AND(G59="Терминал",H59="Оплачено"),F59,"")</f>
      </c>
      <c r="O59" s="14">
        <f>IF(AND(G59="Терминал",H59="Не оплачено"),F59,"")</f>
      </c>
      <c r="P59" s="13">
        <f>IF(AND(G59="Перечисление",H59="Оплачено"),F59,"")</f>
      </c>
      <c r="Q59" s="14">
        <f>IF(AND(G59="Перечисление",H59="Не оплачено"),F59,"")</f>
      </c>
    </row>
    <row r="60">
      <c r="A60" s="9">
        <v>57</v>
      </c>
      <c r="B60" s="7"/>
      <c r="C60" s="6"/>
      <c r="D60" s="8"/>
      <c r="E60" s="8"/>
      <c r="F60" s="4"/>
      <c r="G60" s="8"/>
      <c r="H60" s="8"/>
      <c r="I60" s="8"/>
      <c r="J60" s="13">
        <f>IF(AND(G60="Карта",H60="Оплачено"),F60,"")</f>
      </c>
      <c r="K60" s="14">
        <f>IF(AND(G60="Карта",H60="Не оплачено"),F60,"")</f>
      </c>
      <c r="L60" s="13">
        <f>IF(AND(G60="Наличные",H60="Оплачено"),F60,"")</f>
      </c>
      <c r="M60" s="14">
        <f>IF(AND(G60="Наличные",H60="Не оплачено"),F60,"")</f>
      </c>
      <c r="N60" s="13">
        <f>IF(AND(G60="Терминал",H60="Оплачено"),F60,"")</f>
      </c>
      <c r="O60" s="14">
        <f>IF(AND(G60="Терминал",H60="Не оплачено"),F60,"")</f>
      </c>
      <c r="P60" s="13">
        <f>IF(AND(G60="Перечисление",H60="Оплачено"),F60,"")</f>
      </c>
      <c r="Q60" s="14">
        <f>IF(AND(G60="Перечисление",H60="Не оплачено"),F60,"")</f>
      </c>
    </row>
    <row r="61">
      <c r="A61" s="9">
        <v>58</v>
      </c>
      <c r="B61" s="7"/>
      <c r="C61" s="6"/>
      <c r="D61" s="8"/>
      <c r="E61" s="8"/>
      <c r="F61" s="4"/>
      <c r="G61" s="8"/>
      <c r="H61" s="8"/>
      <c r="I61" s="8"/>
      <c r="J61" s="13">
        <f>IF(AND(G61="Карта",H61="Оплачено"),F61,"")</f>
      </c>
      <c r="K61" s="14">
        <f>IF(AND(G61="Карта",H61="Не оплачено"),F61,"")</f>
      </c>
      <c r="L61" s="13">
        <f>IF(AND(G61="Наличные",H61="Оплачено"),F61,"")</f>
      </c>
      <c r="M61" s="14">
        <f>IF(AND(G61="Наличные",H61="Не оплачено"),F61,"")</f>
      </c>
      <c r="N61" s="13">
        <f>IF(AND(G61="Терминал",H61="Оплачено"),F61,"")</f>
      </c>
      <c r="O61" s="14">
        <f>IF(AND(G61="Терминал",H61="Не оплачено"),F61,"")</f>
      </c>
      <c r="P61" s="13">
        <f>IF(AND(G61="Перечисление",H61="Оплачено"),F61,"")</f>
      </c>
      <c r="Q61" s="14">
        <f>IF(AND(G61="Перечисление",H61="Не оплачено"),F61,"")</f>
      </c>
    </row>
    <row r="62">
      <c r="A62" s="9">
        <v>59</v>
      </c>
      <c r="B62" s="7"/>
      <c r="C62" s="6"/>
      <c r="D62" s="8"/>
      <c r="E62" s="8"/>
      <c r="F62" s="4"/>
      <c r="G62" s="8"/>
      <c r="H62" s="8"/>
      <c r="I62" s="8"/>
      <c r="J62" s="13">
        <f>IF(AND(G62="Карта",H62="Оплачено"),F62,"")</f>
      </c>
      <c r="K62" s="14">
        <f>IF(AND(G62="Карта",H62="Не оплачено"),F62,"")</f>
      </c>
      <c r="L62" s="13">
        <f>IF(AND(G62="Наличные",H62="Оплачено"),F62,"")</f>
      </c>
      <c r="M62" s="14">
        <f>IF(AND(G62="Наличные",H62="Не оплачено"),F62,"")</f>
      </c>
      <c r="N62" s="13">
        <f>IF(AND(G62="Терминал",H62="Оплачено"),F62,"")</f>
      </c>
      <c r="O62" s="14">
        <f>IF(AND(G62="Терминал",H62="Не оплачено"),F62,"")</f>
      </c>
      <c r="P62" s="13">
        <f>IF(AND(G62="Перечисление",H62="Оплачено"),F62,"")</f>
      </c>
      <c r="Q62" s="14">
        <f>IF(AND(G62="Перечисление",H62="Не оплачено"),F62,"")</f>
      </c>
    </row>
    <row r="63">
      <c r="A63" s="9">
        <v>60</v>
      </c>
      <c r="B63" s="7"/>
      <c r="C63" s="6"/>
      <c r="D63" s="8"/>
      <c r="E63" s="8"/>
      <c r="F63" s="4"/>
      <c r="G63" s="8"/>
      <c r="H63" s="8"/>
      <c r="I63" s="8"/>
      <c r="J63" s="13">
        <f>IF(AND(G63="Карта",H63="Оплачено"),F63,"")</f>
      </c>
      <c r="K63" s="14">
        <f>IF(AND(G63="Карта",H63="Не оплачено"),F63,"")</f>
      </c>
      <c r="L63" s="13">
        <f>IF(AND(G63="Наличные",H63="Оплачено"),F63,"")</f>
      </c>
      <c r="M63" s="14">
        <f>IF(AND(G63="Наличные",H63="Не оплачено"),F63,"")</f>
      </c>
      <c r="N63" s="13">
        <f>IF(AND(G63="Терминал",H63="Оплачено"),F63,"")</f>
      </c>
      <c r="O63" s="14">
        <f>IF(AND(G63="Терминал",H63="Не оплачено"),F63,"")</f>
      </c>
      <c r="P63" s="13">
        <f>IF(AND(G63="Перечисление",H63="Оплачено"),F63,"")</f>
      </c>
      <c r="Q63" s="14">
        <f>IF(AND(G63="Перечисление",H63="Не оплачено"),F63,"")</f>
      </c>
    </row>
    <row r="64">
      <c r="A64" s="9">
        <v>61</v>
      </c>
      <c r="B64" s="7"/>
      <c r="C64" s="6"/>
      <c r="D64" s="8"/>
      <c r="E64" s="8"/>
      <c r="F64" s="4"/>
      <c r="G64" s="8"/>
      <c r="H64" s="8"/>
      <c r="I64" s="8"/>
      <c r="J64" s="13">
        <f>IF(AND(G64="Карта",H64="Оплачено"),F64,"")</f>
      </c>
      <c r="K64" s="14">
        <f>IF(AND(G64="Карта",H64="Не оплачено"),F64,"")</f>
      </c>
      <c r="L64" s="13">
        <f>IF(AND(G64="Наличные",H64="Оплачено"),F64,"")</f>
      </c>
      <c r="M64" s="14">
        <f>IF(AND(G64="Наличные",H64="Не оплачено"),F64,"")</f>
      </c>
      <c r="N64" s="13">
        <f>IF(AND(G64="Терминал",H64="Оплачено"),F64,"")</f>
      </c>
      <c r="O64" s="14">
        <f>IF(AND(G64="Терминал",H64="Не оплачено"),F64,"")</f>
      </c>
      <c r="P64" s="13">
        <f>IF(AND(G64="Перечисление",H64="Оплачено"),F64,"")</f>
      </c>
      <c r="Q64" s="14">
        <f>IF(AND(G64="Перечисление",H64="Не оплачено"),F64,"")</f>
      </c>
    </row>
    <row r="65">
      <c r="A65" s="9">
        <v>62</v>
      </c>
      <c r="B65" s="7"/>
      <c r="C65" s="6"/>
      <c r="D65" s="8"/>
      <c r="E65" s="8"/>
      <c r="F65" s="4"/>
      <c r="G65" s="8"/>
      <c r="H65" s="8"/>
      <c r="I65" s="8"/>
      <c r="J65" s="13">
        <f>IF(AND(G65="Карта",H65="Оплачено"),F65,"")</f>
      </c>
      <c r="K65" s="14">
        <f>IF(AND(G65="Карта",H65="Не оплачено"),F65,"")</f>
      </c>
      <c r="L65" s="13">
        <f>IF(AND(G65="Наличные",H65="Оплачено"),F65,"")</f>
      </c>
      <c r="M65" s="14">
        <f>IF(AND(G65="Наличные",H65="Не оплачено"),F65,"")</f>
      </c>
      <c r="N65" s="13">
        <f>IF(AND(G65="Терминал",H65="Оплачено"),F65,"")</f>
      </c>
      <c r="O65" s="14">
        <f>IF(AND(G65="Терминал",H65="Не оплачено"),F65,"")</f>
      </c>
      <c r="P65" s="13">
        <f>IF(AND(G65="Перечисление",H65="Оплачено"),F65,"")</f>
      </c>
      <c r="Q65" s="14">
        <f>IF(AND(G65="Перечисление",H65="Не оплачено"),F65,"")</f>
      </c>
    </row>
    <row r="66">
      <c r="A66" s="9">
        <v>63</v>
      </c>
      <c r="B66" s="7"/>
      <c r="C66" s="6"/>
      <c r="D66" s="8"/>
      <c r="E66" s="8"/>
      <c r="F66" s="4"/>
      <c r="G66" s="8"/>
      <c r="H66" s="8"/>
      <c r="I66" s="8"/>
      <c r="J66" s="13">
        <f>IF(AND(G66="Карта",H66="Оплачено"),F66,"")</f>
      </c>
      <c r="K66" s="14">
        <f>IF(AND(G66="Карта",H66="Не оплачено"),F66,"")</f>
      </c>
      <c r="L66" s="13">
        <f>IF(AND(G66="Наличные",H66="Оплачено"),F66,"")</f>
      </c>
      <c r="M66" s="14">
        <f>IF(AND(G66="Наличные",H66="Не оплачено"),F66,"")</f>
      </c>
      <c r="N66" s="13">
        <f>IF(AND(G66="Терминал",H66="Оплачено"),F66,"")</f>
      </c>
      <c r="O66" s="14">
        <f>IF(AND(G66="Терминал",H66="Не оплачено"),F66,"")</f>
      </c>
      <c r="P66" s="13">
        <f>IF(AND(G66="Перечисление",H66="Оплачено"),F66,"")</f>
      </c>
      <c r="Q66" s="14">
        <f>IF(AND(G66="Перечисление",H66="Не оплачено"),F66,"")</f>
      </c>
    </row>
    <row r="67">
      <c r="A67" s="9">
        <v>64</v>
      </c>
      <c r="B67" s="7"/>
      <c r="C67" s="6"/>
      <c r="D67" s="8"/>
      <c r="E67" s="8"/>
      <c r="F67" s="4"/>
      <c r="G67" s="8"/>
      <c r="H67" s="8"/>
      <c r="I67" s="8"/>
      <c r="J67" s="13">
        <f>IF(AND(G67="Карта",H67="Оплачено"),F67,"")</f>
      </c>
      <c r="K67" s="14">
        <f>IF(AND(G67="Карта",H67="Не оплачено"),F67,"")</f>
      </c>
      <c r="L67" s="13">
        <f>IF(AND(G67="Наличные",H67="Оплачено"),F67,"")</f>
      </c>
      <c r="M67" s="14">
        <f>IF(AND(G67="Наличные",H67="Не оплачено"),F67,"")</f>
      </c>
      <c r="N67" s="13">
        <f>IF(AND(G67="Терминал",H67="Оплачено"),F67,"")</f>
      </c>
      <c r="O67" s="14">
        <f>IF(AND(G67="Терминал",H67="Не оплачено"),F67,"")</f>
      </c>
      <c r="P67" s="13">
        <f>IF(AND(G67="Перечисление",H67="Оплачено"),F67,"")</f>
      </c>
      <c r="Q67" s="14">
        <f>IF(AND(G67="Перечисление",H67="Не оплачено"),F67,"")</f>
      </c>
    </row>
    <row r="68">
      <c r="A68" s="9">
        <v>65</v>
      </c>
      <c r="B68" s="7"/>
      <c r="C68" s="6"/>
      <c r="D68" s="8"/>
      <c r="E68" s="8"/>
      <c r="F68" s="4"/>
      <c r="G68" s="8"/>
      <c r="H68" s="8"/>
      <c r="I68" s="8"/>
      <c r="J68" s="13">
        <f>IF(AND(G68="Карта",H68="Оплачено"),F68,"")</f>
      </c>
      <c r="K68" s="14">
        <f>IF(AND(G68="Карта",H68="Не оплачено"),F68,"")</f>
      </c>
      <c r="L68" s="13">
        <f>IF(AND(G68="Наличные",H68="Оплачено"),F68,"")</f>
      </c>
      <c r="M68" s="14">
        <f>IF(AND(G68="Наличные",H68="Не оплачено"),F68,"")</f>
      </c>
      <c r="N68" s="13">
        <f>IF(AND(G68="Терминал",H68="Оплачено"),F68,"")</f>
      </c>
      <c r="O68" s="14">
        <f>IF(AND(G68="Терминал",H68="Не оплачено"),F68,"")</f>
      </c>
      <c r="P68" s="13">
        <f>IF(AND(G68="Перечисление",H68="Оплачено"),F68,"")</f>
      </c>
      <c r="Q68" s="14">
        <f>IF(AND(G68="Перечисление",H68="Не оплачено"),F68,"")</f>
      </c>
    </row>
    <row r="69">
      <c r="A69" s="9">
        <v>66</v>
      </c>
      <c r="B69" s="7"/>
      <c r="C69" s="6"/>
      <c r="D69" s="8"/>
      <c r="E69" s="8"/>
      <c r="F69" s="4"/>
      <c r="G69" s="8"/>
      <c r="H69" s="8"/>
      <c r="I69" s="8"/>
      <c r="J69" s="13">
        <f>IF(AND(G69="Карта",H69="Оплачено"),F69,"")</f>
      </c>
      <c r="K69" s="14">
        <f>IF(AND(G69="Карта",H69="Не оплачено"),F69,"")</f>
      </c>
      <c r="L69" s="13">
        <f>IF(AND(G69="Наличные",H69="Оплачено"),F69,"")</f>
      </c>
      <c r="M69" s="14">
        <f>IF(AND(G69="Наличные",H69="Не оплачено"),F69,"")</f>
      </c>
      <c r="N69" s="13">
        <f>IF(AND(G69="Терминал",H69="Оплачено"),F69,"")</f>
      </c>
      <c r="O69" s="14">
        <f>IF(AND(G69="Терминал",H69="Не оплачено"),F69,"")</f>
      </c>
      <c r="P69" s="13">
        <f>IF(AND(G69="Перечисление",H69="Оплачено"),F69,"")</f>
      </c>
      <c r="Q69" s="14">
        <f>IF(AND(G69="Перечисление",H69="Не оплачено"),F69,"")</f>
      </c>
    </row>
    <row r="70">
      <c r="A70" s="9">
        <v>67</v>
      </c>
      <c r="B70" s="7"/>
      <c r="C70" s="6"/>
      <c r="D70" s="8"/>
      <c r="E70" s="8"/>
      <c r="F70" s="4"/>
      <c r="G70" s="8"/>
      <c r="H70" s="8"/>
      <c r="I70" s="8"/>
      <c r="J70" s="13">
        <f>IF(AND(G70="Карта",H70="Оплачено"),F70,"")</f>
      </c>
      <c r="K70" s="14">
        <f>IF(AND(G70="Карта",H70="Не оплачено"),F70,"")</f>
      </c>
      <c r="L70" s="13">
        <f>IF(AND(G70="Наличные",H70="Оплачено"),F70,"")</f>
      </c>
      <c r="M70" s="14">
        <f>IF(AND(G70="Наличные",H70="Не оплачено"),F70,"")</f>
      </c>
      <c r="N70" s="13">
        <f>IF(AND(G70="Терминал",H70="Оплачено"),F70,"")</f>
      </c>
      <c r="O70" s="14">
        <f>IF(AND(G70="Терминал",H70="Не оплачено"),F70,"")</f>
      </c>
      <c r="P70" s="13">
        <f>IF(AND(G70="Перечисление",H70="Оплачено"),F70,"")</f>
      </c>
      <c r="Q70" s="14">
        <f>IF(AND(G70="Перечисление",H70="Не оплачено"),F70,"")</f>
      </c>
    </row>
    <row r="71">
      <c r="A71" s="9">
        <v>68</v>
      </c>
      <c r="B71" s="7"/>
      <c r="C71" s="6"/>
      <c r="D71" s="8"/>
      <c r="E71" s="8"/>
      <c r="F71" s="4"/>
      <c r="G71" s="8"/>
      <c r="H71" s="8"/>
      <c r="I71" s="8"/>
      <c r="J71" s="13">
        <f>IF(AND(G71="Карта",H71="Оплачено"),F71,"")</f>
      </c>
      <c r="K71" s="14">
        <f>IF(AND(G71="Карта",H71="Не оплачено"),F71,"")</f>
      </c>
      <c r="L71" s="13">
        <f>IF(AND(G71="Наличные",H71="Оплачено"),F71,"")</f>
      </c>
      <c r="M71" s="14">
        <f>IF(AND(G71="Наличные",H71="Не оплачено"),F71,"")</f>
      </c>
      <c r="N71" s="13">
        <f>IF(AND(G71="Терминал",H71="Оплачено"),F71,"")</f>
      </c>
      <c r="O71" s="14">
        <f>IF(AND(G71="Терминал",H71="Не оплачено"),F71,"")</f>
      </c>
      <c r="P71" s="13">
        <f>IF(AND(G71="Перечисление",H71="Оплачено"),F71,"")</f>
      </c>
      <c r="Q71" s="14">
        <f>IF(AND(G71="Перечисление",H71="Не оплачено"),F71,"")</f>
      </c>
    </row>
    <row r="72">
      <c r="A72" s="9">
        <v>69</v>
      </c>
      <c r="B72" s="7"/>
      <c r="C72" s="6"/>
      <c r="D72" s="8"/>
      <c r="E72" s="8"/>
      <c r="F72" s="4"/>
      <c r="G72" s="8"/>
      <c r="H72" s="8"/>
      <c r="I72" s="8"/>
      <c r="J72" s="13">
        <f>IF(AND(G72="Карта",H72="Оплачено"),F72,"")</f>
      </c>
      <c r="K72" s="14">
        <f>IF(AND(G72="Карта",H72="Не оплачено"),F72,"")</f>
      </c>
      <c r="L72" s="13">
        <f>IF(AND(G72="Наличные",H72="Оплачено"),F72,"")</f>
      </c>
      <c r="M72" s="14">
        <f>IF(AND(G72="Наличные",H72="Не оплачено"),F72,"")</f>
      </c>
      <c r="N72" s="13">
        <f>IF(AND(G72="Терминал",H72="Оплачено"),F72,"")</f>
      </c>
      <c r="O72" s="14">
        <f>IF(AND(G72="Терминал",H72="Не оплачено"),F72,"")</f>
      </c>
      <c r="P72" s="13">
        <f>IF(AND(G72="Перечисление",H72="Оплачено"),F72,"")</f>
      </c>
      <c r="Q72" s="14">
        <f>IF(AND(G72="Перечисление",H72="Не оплачено"),F72,"")</f>
      </c>
    </row>
    <row r="73">
      <c r="A73" s="9">
        <v>70</v>
      </c>
      <c r="B73" s="7"/>
      <c r="C73" s="6"/>
      <c r="D73" s="8"/>
      <c r="E73" s="8"/>
      <c r="F73" s="4"/>
      <c r="G73" s="8"/>
      <c r="H73" s="8"/>
      <c r="I73" s="8"/>
      <c r="J73" s="13">
        <f>IF(AND(G73="Карта",H73="Оплачено"),F73,"")</f>
      </c>
      <c r="K73" s="14">
        <f>IF(AND(G73="Карта",H73="Не оплачено"),F73,"")</f>
      </c>
      <c r="L73" s="13">
        <f>IF(AND(G73="Наличные",H73="Оплачено"),F73,"")</f>
      </c>
      <c r="M73" s="14">
        <f>IF(AND(G73="Наличные",H73="Не оплачено"),F73,"")</f>
      </c>
      <c r="N73" s="13">
        <f>IF(AND(G73="Терминал",H73="Оплачено"),F73,"")</f>
      </c>
      <c r="O73" s="14">
        <f>IF(AND(G73="Терминал",H73="Не оплачено"),F73,"")</f>
      </c>
      <c r="P73" s="13">
        <f>IF(AND(G73="Перечисление",H73="Оплачено"),F73,"")</f>
      </c>
      <c r="Q73" s="14">
        <f>IF(AND(G73="Перечисление",H73="Не оплачено"),F73,"")</f>
      </c>
    </row>
    <row r="74">
      <c r="A74" s="9">
        <v>71</v>
      </c>
      <c r="B74" s="7"/>
      <c r="C74" s="6"/>
      <c r="D74" s="8"/>
      <c r="E74" s="8"/>
      <c r="F74" s="4"/>
      <c r="G74" s="8"/>
      <c r="H74" s="8"/>
      <c r="I74" s="8"/>
      <c r="J74" s="13">
        <f>IF(AND(G74="Карта",H74="Оплачено"),F74,"")</f>
      </c>
      <c r="K74" s="14">
        <f>IF(AND(G74="Карта",H74="Не оплачено"),F74,"")</f>
      </c>
      <c r="L74" s="13">
        <f>IF(AND(G74="Наличные",H74="Оплачено"),F74,"")</f>
      </c>
      <c r="M74" s="14">
        <f>IF(AND(G74="Наличные",H74="Не оплачено"),F74,"")</f>
      </c>
      <c r="N74" s="13">
        <f>IF(AND(G74="Терминал",H74="Оплачено"),F74,"")</f>
      </c>
      <c r="O74" s="14">
        <f>IF(AND(G74="Терминал",H74="Не оплачено"),F74,"")</f>
      </c>
      <c r="P74" s="13">
        <f>IF(AND(G74="Перечисление",H74="Оплачено"),F74,"")</f>
      </c>
      <c r="Q74" s="14">
        <f>IF(AND(G74="Перечисление",H74="Не оплачено"),F74,"")</f>
      </c>
    </row>
    <row r="75">
      <c r="A75" s="9">
        <v>72</v>
      </c>
      <c r="B75" s="7"/>
      <c r="C75" s="6"/>
      <c r="D75" s="8"/>
      <c r="E75" s="8"/>
      <c r="F75" s="4"/>
      <c r="G75" s="8"/>
      <c r="H75" s="8"/>
      <c r="I75" s="8"/>
      <c r="J75" s="13">
        <f>IF(AND(G75="Карта",H75="Оплачено"),F75,"")</f>
      </c>
      <c r="K75" s="14">
        <f>IF(AND(G75="Карта",H75="Не оплачено"),F75,"")</f>
      </c>
      <c r="L75" s="13">
        <f>IF(AND(G75="Наличные",H75="Оплачено"),F75,"")</f>
      </c>
      <c r="M75" s="14">
        <f>IF(AND(G75="Наличные",H75="Не оплачено"),F75,"")</f>
      </c>
      <c r="N75" s="13">
        <f>IF(AND(G75="Терминал",H75="Оплачено"),F75,"")</f>
      </c>
      <c r="O75" s="14">
        <f>IF(AND(G75="Терминал",H75="Не оплачено"),F75,"")</f>
      </c>
      <c r="P75" s="13">
        <f>IF(AND(G75="Перечисление",H75="Оплачено"),F75,"")</f>
      </c>
      <c r="Q75" s="14">
        <f>IF(AND(G75="Перечисление",H75="Не оплачено"),F75,"")</f>
      </c>
    </row>
    <row r="76">
      <c r="A76" s="9">
        <v>73</v>
      </c>
      <c r="B76" s="7"/>
      <c r="C76" s="6"/>
      <c r="D76" s="8"/>
      <c r="E76" s="8"/>
      <c r="F76" s="4"/>
      <c r="G76" s="8"/>
      <c r="H76" s="8"/>
      <c r="I76" s="8"/>
      <c r="J76" s="13">
        <f>IF(AND(G76="Карта",H76="Оплачено"),F76,"")</f>
      </c>
      <c r="K76" s="14">
        <f>IF(AND(G76="Карта",H76="Не оплачено"),F76,"")</f>
      </c>
      <c r="L76" s="13">
        <f>IF(AND(G76="Наличные",H76="Оплачено"),F76,"")</f>
      </c>
      <c r="M76" s="14">
        <f>IF(AND(G76="Наличные",H76="Не оплачено"),F76,"")</f>
      </c>
      <c r="N76" s="13">
        <f>IF(AND(G76="Терминал",H76="Оплачено"),F76,"")</f>
      </c>
      <c r="O76" s="14">
        <f>IF(AND(G76="Терминал",H76="Не оплачено"),F76,"")</f>
      </c>
      <c r="P76" s="13">
        <f>IF(AND(G76="Перечисление",H76="Оплачено"),F76,"")</f>
      </c>
      <c r="Q76" s="14">
        <f>IF(AND(G76="Перечисление",H76="Не оплачено"),F76,"")</f>
      </c>
    </row>
    <row r="77">
      <c r="A77" s="9">
        <v>74</v>
      </c>
      <c r="B77" s="7"/>
      <c r="C77" s="6"/>
      <c r="D77" s="8"/>
      <c r="E77" s="8"/>
      <c r="F77" s="4"/>
      <c r="G77" s="8"/>
      <c r="H77" s="8"/>
      <c r="I77" s="8"/>
      <c r="J77" s="13">
        <f>IF(AND(G77="Карта",H77="Оплачено"),F77,"")</f>
      </c>
      <c r="K77" s="14">
        <f>IF(AND(G77="Карта",H77="Не оплачено"),F77,"")</f>
      </c>
      <c r="L77" s="13">
        <f>IF(AND(G77="Наличные",H77="Оплачено"),F77,"")</f>
      </c>
      <c r="M77" s="14">
        <f>IF(AND(G77="Наличные",H77="Не оплачено"),F77,"")</f>
      </c>
      <c r="N77" s="13">
        <f>IF(AND(G77="Терминал",H77="Оплачено"),F77,"")</f>
      </c>
      <c r="O77" s="14">
        <f>IF(AND(G77="Терминал",H77="Не оплачено"),F77,"")</f>
      </c>
      <c r="P77" s="13">
        <f>IF(AND(G77="Перечисление",H77="Оплачено"),F77,"")</f>
      </c>
      <c r="Q77" s="14">
        <f>IF(AND(G77="Перечисление",H77="Не оплачено"),F77,"")</f>
      </c>
    </row>
    <row r="78">
      <c r="A78" s="9">
        <v>75</v>
      </c>
      <c r="B78" s="7"/>
      <c r="C78" s="6"/>
      <c r="D78" s="8"/>
      <c r="E78" s="8"/>
      <c r="F78" s="4"/>
      <c r="G78" s="8"/>
      <c r="H78" s="8"/>
      <c r="I78" s="8"/>
      <c r="J78" s="13">
        <f>IF(AND(G78="Карта",H78="Оплачено"),F78,"")</f>
      </c>
      <c r="K78" s="14">
        <f>IF(AND(G78="Карта",H78="Не оплачено"),F78,"")</f>
      </c>
      <c r="L78" s="13">
        <f>IF(AND(G78="Наличные",H78="Оплачено"),F78,"")</f>
      </c>
      <c r="M78" s="14">
        <f>IF(AND(G78="Наличные",H78="Не оплачено"),F78,"")</f>
      </c>
      <c r="N78" s="13">
        <f>IF(AND(G78="Терминал",H78="Оплачено"),F78,"")</f>
      </c>
      <c r="O78" s="14">
        <f>IF(AND(G78="Терминал",H78="Не оплачено"),F78,"")</f>
      </c>
      <c r="P78" s="13">
        <f>IF(AND(G78="Перечисление",H78="Оплачено"),F78,"")</f>
      </c>
      <c r="Q78" s="14">
        <f>IF(AND(G78="Перечисление",H78="Не оплачено"),F78,"")</f>
      </c>
    </row>
    <row r="79">
      <c r="A79" s="9">
        <v>76</v>
      </c>
      <c r="B79" s="7"/>
      <c r="C79" s="6"/>
      <c r="D79" s="8"/>
      <c r="E79" s="8"/>
      <c r="F79" s="4"/>
      <c r="G79" s="8"/>
      <c r="H79" s="8"/>
      <c r="I79" s="8"/>
      <c r="J79" s="13">
        <f>IF(AND(G79="Карта",H79="Оплачено"),F79,"")</f>
      </c>
      <c r="K79" s="14">
        <f>IF(AND(G79="Карта",H79="Не оплачено"),F79,"")</f>
      </c>
      <c r="L79" s="13">
        <f>IF(AND(G79="Наличные",H79="Оплачено"),F79,"")</f>
      </c>
      <c r="M79" s="14">
        <f>IF(AND(G79="Наличные",H79="Не оплачено"),F79,"")</f>
      </c>
      <c r="N79" s="13">
        <f>IF(AND(G79="Терминал",H79="Оплачено"),F79,"")</f>
      </c>
      <c r="O79" s="14">
        <f>IF(AND(G79="Терминал",H79="Не оплачено"),F79,"")</f>
      </c>
      <c r="P79" s="13">
        <f>IF(AND(G79="Перечисление",H79="Оплачено"),F79,"")</f>
      </c>
      <c r="Q79" s="14">
        <f>IF(AND(G79="Перечисление",H79="Не оплачено"),F79,"")</f>
      </c>
    </row>
    <row r="80">
      <c r="A80" s="9">
        <v>77</v>
      </c>
      <c r="B80" s="7"/>
      <c r="C80" s="6"/>
      <c r="D80" s="8"/>
      <c r="E80" s="8"/>
      <c r="F80" s="4"/>
      <c r="G80" s="8"/>
      <c r="H80" s="8"/>
      <c r="I80" s="8"/>
      <c r="J80" s="13">
        <f>IF(AND(G80="Карта",H80="Оплачено"),F80,"")</f>
      </c>
      <c r="K80" s="14">
        <f>IF(AND(G80="Карта",H80="Не оплачено"),F80,"")</f>
      </c>
      <c r="L80" s="13">
        <f>IF(AND(G80="Наличные",H80="Оплачено"),F80,"")</f>
      </c>
      <c r="M80" s="14">
        <f>IF(AND(G80="Наличные",H80="Не оплачено"),F80,"")</f>
      </c>
      <c r="N80" s="13">
        <f>IF(AND(G80="Терминал",H80="Оплачено"),F80,"")</f>
      </c>
      <c r="O80" s="14">
        <f>IF(AND(G80="Терминал",H80="Не оплачено"),F80,"")</f>
      </c>
      <c r="P80" s="13">
        <f>IF(AND(G80="Перечисление",H80="Оплачено"),F80,"")</f>
      </c>
      <c r="Q80" s="14">
        <f>IF(AND(G80="Перечисление",H80="Не оплачено"),F80,"")</f>
      </c>
    </row>
    <row r="81">
      <c r="A81" s="9">
        <v>78</v>
      </c>
      <c r="B81" s="7"/>
      <c r="C81" s="6"/>
      <c r="D81" s="8"/>
      <c r="E81" s="8"/>
      <c r="F81" s="4"/>
      <c r="G81" s="8"/>
      <c r="H81" s="8"/>
      <c r="I81" s="8"/>
      <c r="J81" s="13">
        <f>IF(AND(G81="Карта",H81="Оплачено"),F81,"")</f>
      </c>
      <c r="K81" s="14">
        <f>IF(AND(G81="Карта",H81="Не оплачено"),F81,"")</f>
      </c>
      <c r="L81" s="13">
        <f>IF(AND(G81="Наличные",H81="Оплачено"),F81,"")</f>
      </c>
      <c r="M81" s="14">
        <f>IF(AND(G81="Наличные",H81="Не оплачено"),F81,"")</f>
      </c>
      <c r="N81" s="13">
        <f>IF(AND(G81="Терминал",H81="Оплачено"),F81,"")</f>
      </c>
      <c r="O81" s="14">
        <f>IF(AND(G81="Терминал",H81="Не оплачено"),F81,"")</f>
      </c>
      <c r="P81" s="13">
        <f>IF(AND(G81="Перечисление",H81="Оплачено"),F81,"")</f>
      </c>
      <c r="Q81" s="14">
        <f>IF(AND(G81="Перечисление",H81="Не оплачено"),F81,"")</f>
      </c>
    </row>
    <row r="82">
      <c r="A82" s="9">
        <v>79</v>
      </c>
      <c r="B82" s="7"/>
      <c r="C82" s="6"/>
      <c r="D82" s="8"/>
      <c r="E82" s="8"/>
      <c r="F82" s="4"/>
      <c r="G82" s="8"/>
      <c r="H82" s="8"/>
      <c r="I82" s="8"/>
      <c r="J82" s="13">
        <f>IF(AND(G82="Карта",H82="Оплачено"),F82,"")</f>
      </c>
      <c r="K82" s="14">
        <f>IF(AND(G82="Карта",H82="Не оплачено"),F82,"")</f>
      </c>
      <c r="L82" s="13">
        <f>IF(AND(G82="Наличные",H82="Оплачено"),F82,"")</f>
      </c>
      <c r="M82" s="14">
        <f>IF(AND(G82="Наличные",H82="Не оплачено"),F82,"")</f>
      </c>
      <c r="N82" s="13">
        <f>IF(AND(G82="Терминал",H82="Оплачено"),F82,"")</f>
      </c>
      <c r="O82" s="14">
        <f>IF(AND(G82="Терминал",H82="Не оплачено"),F82,"")</f>
      </c>
      <c r="P82" s="13">
        <f>IF(AND(G82="Перечисление",H82="Оплачено"),F82,"")</f>
      </c>
      <c r="Q82" s="14">
        <f>IF(AND(G82="Перечисление",H82="Не оплачено"),F82,"")</f>
      </c>
    </row>
    <row r="83">
      <c r="A83" s="9">
        <v>80</v>
      </c>
      <c r="B83" s="7"/>
      <c r="C83" s="6"/>
      <c r="D83" s="8"/>
      <c r="E83" s="8"/>
      <c r="F83" s="4"/>
      <c r="G83" s="8"/>
      <c r="H83" s="8"/>
      <c r="I83" s="8"/>
      <c r="J83" s="13">
        <f>IF(AND(G83="Карта",H83="Оплачено"),F83,"")</f>
      </c>
      <c r="K83" s="14">
        <f>IF(AND(G83="Карта",H83="Не оплачено"),F83,"")</f>
      </c>
      <c r="L83" s="13">
        <f>IF(AND(G83="Наличные",H83="Оплачено"),F83,"")</f>
      </c>
      <c r="M83" s="14">
        <f>IF(AND(G83="Наличные",H83="Не оплачено"),F83,"")</f>
      </c>
      <c r="N83" s="13">
        <f>IF(AND(G83="Терминал",H83="Оплачено"),F83,"")</f>
      </c>
      <c r="O83" s="14">
        <f>IF(AND(G83="Терминал",H83="Не оплачено"),F83,"")</f>
      </c>
      <c r="P83" s="13">
        <f>IF(AND(G83="Перечисление",H83="Оплачено"),F83,"")</f>
      </c>
      <c r="Q83" s="14">
        <f>IF(AND(G83="Перечисление",H83="Не оплачено"),F83,"")</f>
      </c>
    </row>
    <row r="84">
      <c r="A84" s="9">
        <v>81</v>
      </c>
      <c r="B84" s="7"/>
      <c r="C84" s="6"/>
      <c r="D84" s="8"/>
      <c r="E84" s="8"/>
      <c r="F84" s="4"/>
      <c r="G84" s="8"/>
      <c r="H84" s="8"/>
      <c r="I84" s="8"/>
      <c r="J84" s="13">
        <f>IF(AND(G84="Карта",H84="Оплачено"),F84,"")</f>
      </c>
      <c r="K84" s="14">
        <f>IF(AND(G84="Карта",H84="Не оплачено"),F84,"")</f>
      </c>
      <c r="L84" s="13">
        <f>IF(AND(G84="Наличные",H84="Оплачено"),F84,"")</f>
      </c>
      <c r="M84" s="14">
        <f>IF(AND(G84="Наличные",H84="Не оплачено"),F84,"")</f>
      </c>
      <c r="N84" s="13">
        <f>IF(AND(G84="Терминал",H84="Оплачено"),F84,"")</f>
      </c>
      <c r="O84" s="14">
        <f>IF(AND(G84="Терминал",H84="Не оплачено"),F84,"")</f>
      </c>
      <c r="P84" s="13">
        <f>IF(AND(G84="Перечисление",H84="Оплачено"),F84,"")</f>
      </c>
      <c r="Q84" s="14">
        <f>IF(AND(G84="Перечисление",H84="Не оплачено"),F84,"")</f>
      </c>
    </row>
    <row r="85">
      <c r="A85" s="9">
        <v>82</v>
      </c>
      <c r="B85" s="7"/>
      <c r="C85" s="6"/>
      <c r="D85" s="8"/>
      <c r="E85" s="8"/>
      <c r="F85" s="4"/>
      <c r="G85" s="8"/>
      <c r="H85" s="8"/>
      <c r="I85" s="8"/>
      <c r="J85" s="13">
        <f>IF(AND(G85="Карта",H85="Оплачено"),F85,"")</f>
      </c>
      <c r="K85" s="14">
        <f>IF(AND(G85="Карта",H85="Не оплачено"),F85,"")</f>
      </c>
      <c r="L85" s="13">
        <f>IF(AND(G85="Наличные",H85="Оплачено"),F85,"")</f>
      </c>
      <c r="M85" s="14">
        <f>IF(AND(G85="Наличные",H85="Не оплачено"),F85,"")</f>
      </c>
      <c r="N85" s="13">
        <f>IF(AND(G85="Терминал",H85="Оплачено"),F85,"")</f>
      </c>
      <c r="O85" s="14">
        <f>IF(AND(G85="Терминал",H85="Не оплачено"),F85,"")</f>
      </c>
      <c r="P85" s="13">
        <f>IF(AND(G85="Перечисление",H85="Оплачено"),F85,"")</f>
      </c>
      <c r="Q85" s="14">
        <f>IF(AND(G85="Перечисление",H85="Не оплачено"),F85,"")</f>
      </c>
    </row>
    <row r="86">
      <c r="A86" s="9">
        <v>83</v>
      </c>
      <c r="B86" s="7"/>
      <c r="C86" s="6"/>
      <c r="D86" s="8"/>
      <c r="E86" s="8"/>
      <c r="F86" s="4"/>
      <c r="G86" s="8"/>
      <c r="H86" s="8"/>
      <c r="I86" s="8"/>
      <c r="J86" s="13">
        <f>IF(AND(G86="Карта",H86="Оплачено"),F86,"")</f>
      </c>
      <c r="K86" s="14">
        <f>IF(AND(G86="Карта",H86="Не оплачено"),F86,"")</f>
      </c>
      <c r="L86" s="13">
        <f>IF(AND(G86="Наличные",H86="Оплачено"),F86,"")</f>
      </c>
      <c r="M86" s="14">
        <f>IF(AND(G86="Наличные",H86="Не оплачено"),F86,"")</f>
      </c>
      <c r="N86" s="13">
        <f>IF(AND(G86="Терминал",H86="Оплачено"),F86,"")</f>
      </c>
      <c r="O86" s="14">
        <f>IF(AND(G86="Терминал",H86="Не оплачено"),F86,"")</f>
      </c>
      <c r="P86" s="13">
        <f>IF(AND(G86="Перечисление",H86="Оплачено"),F86,"")</f>
      </c>
      <c r="Q86" s="14">
        <f>IF(AND(G86="Перечисление",H86="Не оплачено"),F86,"")</f>
      </c>
    </row>
    <row r="87">
      <c r="A87" s="9">
        <v>84</v>
      </c>
      <c r="B87" s="7"/>
      <c r="C87" s="6"/>
      <c r="D87" s="8"/>
      <c r="E87" s="8"/>
      <c r="F87" s="4"/>
      <c r="G87" s="8"/>
      <c r="H87" s="8"/>
      <c r="I87" s="8"/>
      <c r="J87" s="13">
        <f>IF(AND(G87="Карта",H87="Оплачено"),F87,"")</f>
      </c>
      <c r="K87" s="14">
        <f>IF(AND(G87="Карта",H87="Не оплачено"),F87,"")</f>
      </c>
      <c r="L87" s="13">
        <f>IF(AND(G87="Наличные",H87="Оплачено"),F87,"")</f>
      </c>
      <c r="M87" s="14">
        <f>IF(AND(G87="Наличные",H87="Не оплачено"),F87,"")</f>
      </c>
      <c r="N87" s="13">
        <f>IF(AND(G87="Терминал",H87="Оплачено"),F87,"")</f>
      </c>
      <c r="O87" s="14">
        <f>IF(AND(G87="Терминал",H87="Не оплачено"),F87,"")</f>
      </c>
      <c r="P87" s="13">
        <f>IF(AND(G87="Перечисление",H87="Оплачено"),F87,"")</f>
      </c>
      <c r="Q87" s="14">
        <f>IF(AND(G87="Перечисление",H87="Не оплачено"),F87,"")</f>
      </c>
    </row>
    <row r="88">
      <c r="A88" s="9">
        <v>85</v>
      </c>
      <c r="B88" s="7"/>
      <c r="C88" s="6"/>
      <c r="D88" s="8"/>
      <c r="E88" s="8"/>
      <c r="F88" s="4"/>
      <c r="G88" s="8"/>
      <c r="H88" s="8"/>
      <c r="I88" s="8"/>
      <c r="J88" s="13">
        <f>IF(AND(G88="Карта",H88="Оплачено"),F88,"")</f>
      </c>
      <c r="K88" s="14">
        <f>IF(AND(G88="Карта",H88="Не оплачено"),F88,"")</f>
      </c>
      <c r="L88" s="13">
        <f>IF(AND(G88="Наличные",H88="Оплачено"),F88,"")</f>
      </c>
      <c r="M88" s="14">
        <f>IF(AND(G88="Наличные",H88="Не оплачено"),F88,"")</f>
      </c>
      <c r="N88" s="13">
        <f>IF(AND(G88="Терминал",H88="Оплачено"),F88,"")</f>
      </c>
      <c r="O88" s="14">
        <f>IF(AND(G88="Терминал",H88="Не оплачено"),F88,"")</f>
      </c>
      <c r="P88" s="13">
        <f>IF(AND(G88="Перечисление",H88="Оплачено"),F88,"")</f>
      </c>
      <c r="Q88" s="14">
        <f>IF(AND(G88="Перечисление",H88="Не оплачено"),F88,"")</f>
      </c>
    </row>
    <row r="89">
      <c r="A89" s="9">
        <v>86</v>
      </c>
      <c r="B89" s="7"/>
      <c r="C89" s="6"/>
      <c r="D89" s="8"/>
      <c r="E89" s="8"/>
      <c r="F89" s="4"/>
      <c r="G89" s="8"/>
      <c r="H89" s="8"/>
      <c r="I89" s="8"/>
      <c r="J89" s="13">
        <f>IF(AND(G89="Карта",H89="Оплачено"),F89,"")</f>
      </c>
      <c r="K89" s="14">
        <f>IF(AND(G89="Карта",H89="Не оплачено"),F89,"")</f>
      </c>
      <c r="L89" s="13">
        <f>IF(AND(G89="Наличные",H89="Оплачено"),F89,"")</f>
      </c>
      <c r="M89" s="14">
        <f>IF(AND(G89="Наличные",H89="Не оплачено"),F89,"")</f>
      </c>
      <c r="N89" s="13">
        <f>IF(AND(G89="Терминал",H89="Оплачено"),F89,"")</f>
      </c>
      <c r="O89" s="14">
        <f>IF(AND(G89="Терминал",H89="Не оплачено"),F89,"")</f>
      </c>
      <c r="P89" s="13">
        <f>IF(AND(G89="Перечисление",H89="Оплачено"),F89,"")</f>
      </c>
      <c r="Q89" s="14">
        <f>IF(AND(G89="Перечисление",H89="Не оплачено"),F89,"")</f>
      </c>
    </row>
    <row r="90">
      <c r="A90" s="9">
        <v>87</v>
      </c>
      <c r="B90" s="7"/>
      <c r="C90" s="6"/>
      <c r="D90" s="8"/>
      <c r="E90" s="8"/>
      <c r="F90" s="4"/>
      <c r="G90" s="8"/>
      <c r="H90" s="8"/>
      <c r="I90" s="8"/>
      <c r="J90" s="13">
        <f>IF(AND(G90="Карта",H90="Оплачено"),F90,"")</f>
      </c>
      <c r="K90" s="14">
        <f>IF(AND(G90="Карта",H90="Не оплачено"),F90,"")</f>
      </c>
      <c r="L90" s="13">
        <f>IF(AND(G90="Наличные",H90="Оплачено"),F90,"")</f>
      </c>
      <c r="M90" s="14">
        <f>IF(AND(G90="Наличные",H90="Не оплачено"),F90,"")</f>
      </c>
      <c r="N90" s="13">
        <f>IF(AND(G90="Терминал",H90="Оплачено"),F90,"")</f>
      </c>
      <c r="O90" s="14">
        <f>IF(AND(G90="Терминал",H90="Не оплачено"),F90,"")</f>
      </c>
      <c r="P90" s="13">
        <f>IF(AND(G90="Перечисление",H90="Оплачено"),F90,"")</f>
      </c>
      <c r="Q90" s="14">
        <f>IF(AND(G90="Перечисление",H90="Не оплачено"),F90,"")</f>
      </c>
    </row>
    <row r="91">
      <c r="A91" s="9">
        <v>88</v>
      </c>
      <c r="B91" s="7"/>
      <c r="C91" s="6"/>
      <c r="D91" s="8"/>
      <c r="E91" s="8"/>
      <c r="F91" s="4"/>
      <c r="G91" s="8"/>
      <c r="H91" s="8"/>
      <c r="I91" s="8"/>
      <c r="J91" s="13">
        <f>IF(AND(G91="Карта",H91="Оплачено"),F91,"")</f>
      </c>
      <c r="K91" s="14">
        <f>IF(AND(G91="Карта",H91="Не оплачено"),F91,"")</f>
      </c>
      <c r="L91" s="13">
        <f>IF(AND(G91="Наличные",H91="Оплачено"),F91,"")</f>
      </c>
      <c r="M91" s="14">
        <f>IF(AND(G91="Наличные",H91="Не оплачено"),F91,"")</f>
      </c>
      <c r="N91" s="13">
        <f>IF(AND(G91="Терминал",H91="Оплачено"),F91,"")</f>
      </c>
      <c r="O91" s="14">
        <f>IF(AND(G91="Терминал",H91="Не оплачено"),F91,"")</f>
      </c>
      <c r="P91" s="13">
        <f>IF(AND(G91="Перечисление",H91="Оплачено"),F91,"")</f>
      </c>
      <c r="Q91" s="14">
        <f>IF(AND(G91="Перечисление",H91="Не оплачено"),F91,"")</f>
      </c>
    </row>
    <row r="92">
      <c r="A92" s="9">
        <v>89</v>
      </c>
      <c r="B92" s="7"/>
      <c r="C92" s="6"/>
      <c r="D92" s="8"/>
      <c r="E92" s="8"/>
      <c r="F92" s="4"/>
      <c r="G92" s="8"/>
      <c r="H92" s="8"/>
      <c r="I92" s="8"/>
      <c r="J92" s="13">
        <f>IF(AND(G92="Карта",H92="Оплачено"),F92,"")</f>
      </c>
      <c r="K92" s="14">
        <f>IF(AND(G92="Карта",H92="Не оплачено"),F92,"")</f>
      </c>
      <c r="L92" s="13">
        <f>IF(AND(G92="Наличные",H92="Оплачено"),F92,"")</f>
      </c>
      <c r="M92" s="14">
        <f>IF(AND(G92="Наличные",H92="Не оплачено"),F92,"")</f>
      </c>
      <c r="N92" s="13">
        <f>IF(AND(G92="Терминал",H92="Оплачено"),F92,"")</f>
      </c>
      <c r="O92" s="14">
        <f>IF(AND(G92="Терминал",H92="Не оплачено"),F92,"")</f>
      </c>
      <c r="P92" s="13">
        <f>IF(AND(G92="Перечисление",H92="Оплачено"),F92,"")</f>
      </c>
      <c r="Q92" s="14">
        <f>IF(AND(G92="Перечисление",H92="Не оплачено"),F92,"")</f>
      </c>
    </row>
    <row r="93">
      <c r="A93" s="9">
        <v>90</v>
      </c>
      <c r="B93" s="7"/>
      <c r="C93" s="6"/>
      <c r="D93" s="8"/>
      <c r="E93" s="8"/>
      <c r="F93" s="4"/>
      <c r="G93" s="8"/>
      <c r="H93" s="8"/>
      <c r="I93" s="8"/>
      <c r="J93" s="13">
        <f>IF(AND(G93="Карта",H93="Оплачено"),F93,"")</f>
      </c>
      <c r="K93" s="14">
        <f>IF(AND(G93="Карта",H93="Не оплачено"),F93,"")</f>
      </c>
      <c r="L93" s="13">
        <f>IF(AND(G93="Наличные",H93="Оплачено"),F93,"")</f>
      </c>
      <c r="M93" s="14">
        <f>IF(AND(G93="Наличные",H93="Не оплачено"),F93,"")</f>
      </c>
      <c r="N93" s="13">
        <f>IF(AND(G93="Терминал",H93="Оплачено"),F93,"")</f>
      </c>
      <c r="O93" s="14">
        <f>IF(AND(G93="Терминал",H93="Не оплачено"),F93,"")</f>
      </c>
      <c r="P93" s="13">
        <f>IF(AND(G93="Перечисление",H93="Оплачено"),F93,"")</f>
      </c>
      <c r="Q93" s="14">
        <f>IF(AND(G93="Перечисление",H93="Не оплачено"),F93,"")</f>
      </c>
    </row>
    <row r="94">
      <c r="A94" s="9">
        <v>91</v>
      </c>
      <c r="B94" s="7"/>
      <c r="C94" s="6"/>
      <c r="D94" s="8"/>
      <c r="E94" s="8"/>
      <c r="F94" s="4"/>
      <c r="G94" s="8"/>
      <c r="H94" s="8"/>
      <c r="I94" s="8"/>
      <c r="J94" s="13">
        <f>IF(AND(G94="Карта",H94="Оплачено"),F94,"")</f>
      </c>
      <c r="K94" s="14">
        <f>IF(AND(G94="Карта",H94="Не оплачено"),F94,"")</f>
      </c>
      <c r="L94" s="13">
        <f>IF(AND(G94="Наличные",H94="Оплачено"),F94,"")</f>
      </c>
      <c r="M94" s="14">
        <f>IF(AND(G94="Наличные",H94="Не оплачено"),F94,"")</f>
      </c>
      <c r="N94" s="13">
        <f>IF(AND(G94="Терминал",H94="Оплачено"),F94,"")</f>
      </c>
      <c r="O94" s="14">
        <f>IF(AND(G94="Терминал",H94="Не оплачено"),F94,"")</f>
      </c>
      <c r="P94" s="13">
        <f>IF(AND(G94="Перечисление",H94="Оплачено"),F94,"")</f>
      </c>
      <c r="Q94" s="14">
        <f>IF(AND(G94="Перечисление",H94="Не оплачено"),F94,"")</f>
      </c>
    </row>
    <row r="95">
      <c r="A95" s="9">
        <v>92</v>
      </c>
      <c r="B95" s="7"/>
      <c r="C95" s="6"/>
      <c r="D95" s="8"/>
      <c r="E95" s="8"/>
      <c r="F95" s="4"/>
      <c r="G95" s="8"/>
      <c r="H95" s="8"/>
      <c r="I95" s="8"/>
      <c r="J95" s="13">
        <f>IF(AND(G95="Карта",H95="Оплачено"),F95,"")</f>
      </c>
      <c r="K95" s="14">
        <f>IF(AND(G95="Карта",H95="Не оплачено"),F95,"")</f>
      </c>
      <c r="L95" s="13">
        <f>IF(AND(G95="Наличные",H95="Оплачено"),F95,"")</f>
      </c>
      <c r="M95" s="14">
        <f>IF(AND(G95="Наличные",H95="Не оплачено"),F95,"")</f>
      </c>
      <c r="N95" s="13">
        <f>IF(AND(G95="Терминал",H95="Оплачено"),F95,"")</f>
      </c>
      <c r="O95" s="14">
        <f>IF(AND(G95="Терминал",H95="Не оплачено"),F95,"")</f>
      </c>
      <c r="P95" s="13">
        <f>IF(AND(G95="Перечисление",H95="Оплачено"),F95,"")</f>
      </c>
      <c r="Q95" s="14">
        <f>IF(AND(G95="Перечисление",H95="Не оплачено"),F95,"")</f>
      </c>
    </row>
    <row r="96">
      <c r="A96" s="9">
        <v>93</v>
      </c>
      <c r="B96" s="7"/>
      <c r="C96" s="6"/>
      <c r="D96" s="8"/>
      <c r="E96" s="8"/>
      <c r="F96" s="4"/>
      <c r="G96" s="8"/>
      <c r="H96" s="8"/>
      <c r="I96" s="8"/>
      <c r="J96" s="13">
        <f>IF(AND(G96="Карта",H96="Оплачено"),F96,"")</f>
      </c>
      <c r="K96" s="14">
        <f>IF(AND(G96="Карта",H96="Не оплачено"),F96,"")</f>
      </c>
      <c r="L96" s="13">
        <f>IF(AND(G96="Наличные",H96="Оплачено"),F96,"")</f>
      </c>
      <c r="M96" s="14">
        <f>IF(AND(G96="Наличные",H96="Не оплачено"),F96,"")</f>
      </c>
      <c r="N96" s="13">
        <f>IF(AND(G96="Терминал",H96="Оплачено"),F96,"")</f>
      </c>
      <c r="O96" s="14">
        <f>IF(AND(G96="Терминал",H96="Не оплачено"),F96,"")</f>
      </c>
      <c r="P96" s="13">
        <f>IF(AND(G96="Перечисление",H96="Оплачено"),F96,"")</f>
      </c>
      <c r="Q96" s="14">
        <f>IF(AND(G96="Перечисление",H96="Не оплачено"),F96,"")</f>
      </c>
    </row>
    <row r="97">
      <c r="A97" s="9">
        <v>94</v>
      </c>
      <c r="B97" s="7"/>
      <c r="C97" s="6"/>
      <c r="D97" s="8"/>
      <c r="E97" s="8"/>
      <c r="F97" s="4"/>
      <c r="G97" s="8"/>
      <c r="H97" s="8"/>
      <c r="I97" s="8"/>
      <c r="J97" s="13">
        <f>IF(AND(G97="Карта",H97="Оплачено"),F97,"")</f>
      </c>
      <c r="K97" s="14">
        <f>IF(AND(G97="Карта",H97="Не оплачено"),F97,"")</f>
      </c>
      <c r="L97" s="13">
        <f>IF(AND(G97="Наличные",H97="Оплачено"),F97,"")</f>
      </c>
      <c r="M97" s="14">
        <f>IF(AND(G97="Наличные",H97="Не оплачено"),F97,"")</f>
      </c>
      <c r="N97" s="13">
        <f>IF(AND(G97="Терминал",H97="Оплачено"),F97,"")</f>
      </c>
      <c r="O97" s="14">
        <f>IF(AND(G97="Терминал",H97="Не оплачено"),F97,"")</f>
      </c>
      <c r="P97" s="13">
        <f>IF(AND(G97="Перечисление",H97="Оплачено"),F97,"")</f>
      </c>
      <c r="Q97" s="14">
        <f>IF(AND(G97="Перечисление",H97="Не оплачено"),F97,"")</f>
      </c>
    </row>
    <row r="98">
      <c r="A98" s="9">
        <v>95</v>
      </c>
      <c r="B98" s="7"/>
      <c r="C98" s="6"/>
      <c r="D98" s="8"/>
      <c r="E98" s="8"/>
      <c r="F98" s="4"/>
      <c r="G98" s="8"/>
      <c r="H98" s="8"/>
      <c r="I98" s="8"/>
      <c r="J98" s="13">
        <f>IF(AND(G98="Карта",H98="Оплачено"),F98,"")</f>
      </c>
      <c r="K98" s="14">
        <f>IF(AND(G98="Карта",H98="Не оплачено"),F98,"")</f>
      </c>
      <c r="L98" s="13">
        <f>IF(AND(G98="Наличные",H98="Оплачено"),F98,"")</f>
      </c>
      <c r="M98" s="14">
        <f>IF(AND(G98="Наличные",H98="Не оплачено"),F98,"")</f>
      </c>
      <c r="N98" s="13">
        <f>IF(AND(G98="Терминал",H98="Оплачено"),F98,"")</f>
      </c>
      <c r="O98" s="14">
        <f>IF(AND(G98="Терминал",H98="Не оплачено"),F98,"")</f>
      </c>
      <c r="P98" s="13">
        <f>IF(AND(G98="Перечисление",H98="Оплачено"),F98,"")</f>
      </c>
      <c r="Q98" s="14">
        <f>IF(AND(G98="Перечисление",H98="Не оплачено"),F98,"")</f>
      </c>
    </row>
    <row r="99">
      <c r="A99" s="9">
        <v>96</v>
      </c>
      <c r="B99" s="7"/>
      <c r="C99" s="6"/>
      <c r="D99" s="8"/>
      <c r="E99" s="8"/>
      <c r="F99" s="4"/>
      <c r="G99" s="8"/>
      <c r="H99" s="8"/>
      <c r="I99" s="8"/>
      <c r="J99" s="13">
        <f>IF(AND(G99="Карта",H99="Оплачено"),F99,"")</f>
      </c>
      <c r="K99" s="14">
        <f>IF(AND(G99="Карта",H99="Не оплачено"),F99,"")</f>
      </c>
      <c r="L99" s="13">
        <f>IF(AND(G99="Наличные",H99="Оплачено"),F99,"")</f>
      </c>
      <c r="M99" s="14">
        <f>IF(AND(G99="Наличные",H99="Не оплачено"),F99,"")</f>
      </c>
      <c r="N99" s="13">
        <f>IF(AND(G99="Терминал",H99="Оплачено"),F99,"")</f>
      </c>
      <c r="O99" s="14">
        <f>IF(AND(G99="Терминал",H99="Не оплачено"),F99,"")</f>
      </c>
      <c r="P99" s="13">
        <f>IF(AND(G99="Перечисление",H99="Оплачено"),F99,"")</f>
      </c>
      <c r="Q99" s="14">
        <f>IF(AND(G99="Перечисление",H99="Не оплачено"),F99,"")</f>
      </c>
    </row>
    <row r="100">
      <c r="A100" s="9">
        <v>97</v>
      </c>
      <c r="B100" s="7"/>
      <c r="C100" s="6"/>
      <c r="D100" s="8"/>
      <c r="E100" s="8"/>
      <c r="F100" s="4"/>
      <c r="G100" s="8"/>
      <c r="H100" s="8"/>
      <c r="I100" s="8"/>
      <c r="J100" s="13">
        <f>IF(AND(G100="Карта",H100="Оплачено"),F100,"")</f>
      </c>
      <c r="K100" s="14">
        <f>IF(AND(G100="Карта",H100="Не оплачено"),F100,"")</f>
      </c>
      <c r="L100" s="13">
        <f>IF(AND(G100="Наличные",H100="Оплачено"),F100,"")</f>
      </c>
      <c r="M100" s="14">
        <f>IF(AND(G100="Наличные",H100="Не оплачено"),F100,"")</f>
      </c>
      <c r="N100" s="13">
        <f>IF(AND(G100="Терминал",H100="Оплачено"),F100,"")</f>
      </c>
      <c r="O100" s="14">
        <f>IF(AND(G100="Терминал",H100="Не оплачено"),F100,"")</f>
      </c>
      <c r="P100" s="13">
        <f>IF(AND(G100="Перечисление",H100="Оплачено"),F100,"")</f>
      </c>
      <c r="Q100" s="14">
        <f>IF(AND(G100="Перечисление",H100="Не оплачено"),F100,"")</f>
      </c>
    </row>
    <row r="101">
      <c r="A101" s="9">
        <v>98</v>
      </c>
      <c r="B101" s="7"/>
      <c r="C101" s="6"/>
      <c r="D101" s="8"/>
      <c r="E101" s="8"/>
      <c r="F101" s="4"/>
      <c r="G101" s="8"/>
      <c r="H101" s="8"/>
      <c r="I101" s="8"/>
      <c r="J101" s="13">
        <f>IF(AND(G101="Карта",H101="Оплачено"),F101,"")</f>
      </c>
      <c r="K101" s="14">
        <f>IF(AND(G101="Карта",H101="Не оплачено"),F101,"")</f>
      </c>
      <c r="L101" s="13">
        <f>IF(AND(G101="Наличные",H101="Оплачено"),F101,"")</f>
      </c>
      <c r="M101" s="14">
        <f>IF(AND(G101="Наличные",H101="Не оплачено"),F101,"")</f>
      </c>
      <c r="N101" s="13">
        <f>IF(AND(G101="Терминал",H101="Оплачено"),F101,"")</f>
      </c>
      <c r="O101" s="14">
        <f>IF(AND(G101="Терминал",H101="Не оплачено"),F101,"")</f>
      </c>
      <c r="P101" s="13">
        <f>IF(AND(G101="Перечисление",H101="Оплачено"),F101,"")</f>
      </c>
      <c r="Q101" s="14">
        <f>IF(AND(G101="Перечисление",H101="Не оплачено"),F101,"")</f>
      </c>
    </row>
    <row r="102">
      <c r="A102" s="9">
        <v>99</v>
      </c>
      <c r="B102" s="7"/>
      <c r="C102" s="6"/>
      <c r="D102" s="8"/>
      <c r="E102" s="8"/>
      <c r="F102" s="4"/>
      <c r="G102" s="8"/>
      <c r="H102" s="8"/>
      <c r="I102" s="8"/>
      <c r="J102" s="13">
        <f>IF(AND(G102="Карта",H102="Оплачено"),F102,"")</f>
      </c>
      <c r="K102" s="14">
        <f>IF(AND(G102="Карта",H102="Не оплачено"),F102,"")</f>
      </c>
      <c r="L102" s="13">
        <f>IF(AND(G102="Наличные",H102="Оплачено"),F102,"")</f>
      </c>
      <c r="M102" s="14">
        <f>IF(AND(G102="Наличные",H102="Не оплачено"),F102,"")</f>
      </c>
      <c r="N102" s="13">
        <f>IF(AND(G102="Терминал",H102="Оплачено"),F102,"")</f>
      </c>
      <c r="O102" s="14">
        <f>IF(AND(G102="Терминал",H102="Не оплачено"),F102,"")</f>
      </c>
      <c r="P102" s="13">
        <f>IF(AND(G102="Перечисление",H102="Оплачено"),F102,"")</f>
      </c>
      <c r="Q102" s="14">
        <f>IF(AND(G102="Перечисление",H102="Не оплачено"),F102,"")</f>
      </c>
    </row>
    <row r="103">
      <c r="A103" s="9">
        <v>100</v>
      </c>
      <c r="B103" s="7"/>
      <c r="C103" s="6"/>
      <c r="D103" s="8"/>
      <c r="E103" s="8"/>
      <c r="F103" s="4"/>
      <c r="G103" s="8"/>
      <c r="H103" s="8"/>
      <c r="I103" s="8"/>
      <c r="J103" s="13">
        <f>IF(AND(G103="Карта",H103="Оплачено"),F103,"")</f>
      </c>
      <c r="K103" s="14">
        <f>IF(AND(G103="Карта",H103="Не оплачено"),F103,"")</f>
      </c>
      <c r="L103" s="13">
        <f>IF(AND(G103="Наличные",H103="Оплачено"),F103,"")</f>
      </c>
      <c r="M103" s="14">
        <f>IF(AND(G103="Наличные",H103="Не оплачено"),F103,"")</f>
      </c>
      <c r="N103" s="13">
        <f>IF(AND(G103="Терминал",H103="Оплачено"),F103,"")</f>
      </c>
      <c r="O103" s="14">
        <f>IF(AND(G103="Терминал",H103="Не оплачено"),F103,"")</f>
      </c>
      <c r="P103" s="13">
        <f>IF(AND(G103="Перечисление",H103="Оплачено"),F103,"")</f>
      </c>
      <c r="Q103" s="14">
        <f>IF(AND(G103="Перечисление",H103="Не оплачено"),F103,"")</f>
      </c>
    </row>
    <row r="104">
      <c r="A104" s="9">
        <v>101</v>
      </c>
      <c r="B104" s="7"/>
      <c r="C104" s="6"/>
      <c r="D104" s="8"/>
      <c r="E104" s="8"/>
      <c r="F104" s="4"/>
      <c r="G104" s="8"/>
      <c r="H104" s="8"/>
      <c r="I104" s="8"/>
      <c r="J104" s="13">
        <f>IF(AND(G104="Карта",H104="Оплачено"),F104,"")</f>
      </c>
      <c r="K104" s="14">
        <f>IF(AND(G104="Карта",H104="Не оплачено"),F104,"")</f>
      </c>
      <c r="L104" s="13">
        <f>IF(AND(G104="Наличные",H104="Оплачено"),F104,"")</f>
      </c>
      <c r="M104" s="14">
        <f>IF(AND(G104="Наличные",H104="Не оплачено"),F104,"")</f>
      </c>
      <c r="N104" s="13">
        <f>IF(AND(G104="Терминал",H104="Оплачено"),F104,"")</f>
      </c>
      <c r="O104" s="14">
        <f>IF(AND(G104="Терминал",H104="Не оплачено"),F104,"")</f>
      </c>
      <c r="P104" s="13">
        <f>IF(AND(G104="Перечисление",H104="Оплачено"),F104,"")</f>
      </c>
      <c r="Q104" s="14">
        <f>IF(AND(G104="Перечисление",H104="Не оплачено"),F104,"")</f>
      </c>
    </row>
    <row r="105">
      <c r="A105" s="9">
        <v>102</v>
      </c>
      <c r="B105" s="7"/>
      <c r="C105" s="6"/>
      <c r="D105" s="8"/>
      <c r="E105" s="8"/>
      <c r="F105" s="4"/>
      <c r="G105" s="8"/>
      <c r="H105" s="8"/>
      <c r="I105" s="8"/>
      <c r="J105" s="13">
        <f>IF(AND(G105="Карта",H105="Оплачено"),F105,"")</f>
      </c>
      <c r="K105" s="14">
        <f>IF(AND(G105="Карта",H105="Не оплачено"),F105,"")</f>
      </c>
      <c r="L105" s="13">
        <f>IF(AND(G105="Наличные",H105="Оплачено"),F105,"")</f>
      </c>
      <c r="M105" s="14">
        <f>IF(AND(G105="Наличные",H105="Не оплачено"),F105,"")</f>
      </c>
      <c r="N105" s="13">
        <f>IF(AND(G105="Терминал",H105="Оплачено"),F105,"")</f>
      </c>
      <c r="O105" s="14">
        <f>IF(AND(G105="Терминал",H105="Не оплачено"),F105,"")</f>
      </c>
      <c r="P105" s="13">
        <f>IF(AND(G105="Перечисление",H105="Оплачено"),F105,"")</f>
      </c>
      <c r="Q105" s="14">
        <f>IF(AND(G105="Перечисление",H105="Не оплачено"),F105,"")</f>
      </c>
    </row>
    <row r="106">
      <c r="A106" s="9">
        <v>103</v>
      </c>
      <c r="B106" s="7"/>
      <c r="C106" s="6"/>
      <c r="D106" s="8"/>
      <c r="E106" s="8"/>
      <c r="F106" s="4"/>
      <c r="G106" s="8"/>
      <c r="H106" s="8"/>
      <c r="I106" s="8"/>
      <c r="J106" s="13">
        <f>IF(AND(G106="Карта",H106="Оплачено"),F106,"")</f>
      </c>
      <c r="K106" s="14">
        <f>IF(AND(G106="Карта",H106="Не оплачено"),F106,"")</f>
      </c>
      <c r="L106" s="13">
        <f>IF(AND(G106="Наличные",H106="Оплачено"),F106,"")</f>
      </c>
      <c r="M106" s="14">
        <f>IF(AND(G106="Наличные",H106="Не оплачено"),F106,"")</f>
      </c>
      <c r="N106" s="13">
        <f>IF(AND(G106="Терминал",H106="Оплачено"),F106,"")</f>
      </c>
      <c r="O106" s="14">
        <f>IF(AND(G106="Терминал",H106="Не оплачено"),F106,"")</f>
      </c>
      <c r="P106" s="13">
        <f>IF(AND(G106="Перечисление",H106="Оплачено"),F106,"")</f>
      </c>
      <c r="Q106" s="14">
        <f>IF(AND(G106="Перечисление",H106="Не оплачено"),F106,"")</f>
      </c>
    </row>
    <row r="107">
      <c r="A107" s="9">
        <v>104</v>
      </c>
      <c r="B107" s="7"/>
      <c r="C107" s="6"/>
      <c r="D107" s="8"/>
      <c r="E107" s="8"/>
      <c r="F107" s="4"/>
      <c r="G107" s="8"/>
      <c r="H107" s="8"/>
      <c r="I107" s="8"/>
      <c r="J107" s="13">
        <f>IF(AND(G107="Карта",H107="Оплачено"),F107,"")</f>
      </c>
      <c r="K107" s="14">
        <f>IF(AND(G107="Карта",H107="Не оплачено"),F107,"")</f>
      </c>
      <c r="L107" s="13">
        <f>IF(AND(G107="Наличные",H107="Оплачено"),F107,"")</f>
      </c>
      <c r="M107" s="14">
        <f>IF(AND(G107="Наличные",H107="Не оплачено"),F107,"")</f>
      </c>
      <c r="N107" s="13">
        <f>IF(AND(G107="Терминал",H107="Оплачено"),F107,"")</f>
      </c>
      <c r="O107" s="14">
        <f>IF(AND(G107="Терминал",H107="Не оплачено"),F107,"")</f>
      </c>
      <c r="P107" s="13">
        <f>IF(AND(G107="Перечисление",H107="Оплачено"),F107,"")</f>
      </c>
      <c r="Q107" s="14">
        <f>IF(AND(G107="Перечисление",H107="Не оплачено"),F107,"")</f>
      </c>
    </row>
    <row r="108">
      <c r="A108" s="9">
        <v>105</v>
      </c>
      <c r="B108" s="7"/>
      <c r="C108" s="6"/>
      <c r="D108" s="8"/>
      <c r="E108" s="8"/>
      <c r="F108" s="4"/>
      <c r="G108" s="8"/>
      <c r="H108" s="8"/>
      <c r="I108" s="8"/>
      <c r="J108" s="13">
        <f>IF(AND(G108="Карта",H108="Оплачено"),F108,"")</f>
      </c>
      <c r="K108" s="14">
        <f>IF(AND(G108="Карта",H108="Не оплачено"),F108,"")</f>
      </c>
      <c r="L108" s="13">
        <f>IF(AND(G108="Наличные",H108="Оплачено"),F108,"")</f>
      </c>
      <c r="M108" s="14">
        <f>IF(AND(G108="Наличные",H108="Не оплачено"),F108,"")</f>
      </c>
      <c r="N108" s="13">
        <f>IF(AND(G108="Терминал",H108="Оплачено"),F108,"")</f>
      </c>
      <c r="O108" s="14">
        <f>IF(AND(G108="Терминал",H108="Не оплачено"),F108,"")</f>
      </c>
      <c r="P108" s="13">
        <f>IF(AND(G108="Перечисление",H108="Оплачено"),F108,"")</f>
      </c>
      <c r="Q108" s="14">
        <f>IF(AND(G108="Перечисление",H108="Не оплачено"),F108,"")</f>
      </c>
    </row>
    <row r="109">
      <c r="A109" s="9">
        <v>106</v>
      </c>
      <c r="B109" s="7"/>
      <c r="C109" s="6"/>
      <c r="D109" s="8"/>
      <c r="E109" s="8"/>
      <c r="F109" s="4"/>
      <c r="G109" s="8"/>
      <c r="H109" s="8"/>
      <c r="I109" s="8"/>
      <c r="J109" s="13">
        <f>IF(AND(G109="Карта",H109="Оплачено"),F109,"")</f>
      </c>
      <c r="K109" s="14">
        <f>IF(AND(G109="Карта",H109="Не оплачено"),F109,"")</f>
      </c>
      <c r="L109" s="13">
        <f>IF(AND(G109="Наличные",H109="Оплачено"),F109,"")</f>
      </c>
      <c r="M109" s="14">
        <f>IF(AND(G109="Наличные",H109="Не оплачено"),F109,"")</f>
      </c>
      <c r="N109" s="13">
        <f>IF(AND(G109="Терминал",H109="Оплачено"),F109,"")</f>
      </c>
      <c r="O109" s="14">
        <f>IF(AND(G109="Терминал",H109="Не оплачено"),F109,"")</f>
      </c>
      <c r="P109" s="13">
        <f>IF(AND(G109="Перечисление",H109="Оплачено"),F109,"")</f>
      </c>
      <c r="Q109" s="14">
        <f>IF(AND(G109="Перечисление",H109="Не оплачено"),F109,"")</f>
      </c>
    </row>
    <row r="110">
      <c r="A110" s="9">
        <v>107</v>
      </c>
      <c r="B110" s="7"/>
      <c r="C110" s="6"/>
      <c r="D110" s="8"/>
      <c r="E110" s="8"/>
      <c r="F110" s="4"/>
      <c r="G110" s="8"/>
      <c r="H110" s="8"/>
      <c r="I110" s="8"/>
      <c r="J110" s="13">
        <f>IF(AND(G110="Карта",H110="Оплачено"),F110,"")</f>
      </c>
      <c r="K110" s="14">
        <f>IF(AND(G110="Карта",H110="Не оплачено"),F110,"")</f>
      </c>
      <c r="L110" s="13">
        <f>IF(AND(G110="Наличные",H110="Оплачено"),F110,"")</f>
      </c>
      <c r="M110" s="14">
        <f>IF(AND(G110="Наличные",H110="Не оплачено"),F110,"")</f>
      </c>
      <c r="N110" s="13">
        <f>IF(AND(G110="Терминал",H110="Оплачено"),F110,"")</f>
      </c>
      <c r="O110" s="14">
        <f>IF(AND(G110="Терминал",H110="Не оплачено"),F110,"")</f>
      </c>
      <c r="P110" s="13">
        <f>IF(AND(G110="Перечисление",H110="Оплачено"),F110,"")</f>
      </c>
      <c r="Q110" s="14">
        <f>IF(AND(G110="Перечисление",H110="Не оплачено"),F110,"")</f>
      </c>
    </row>
    <row r="111">
      <c r="A111" s="9">
        <v>108</v>
      </c>
      <c r="B111" s="7"/>
      <c r="C111" s="6"/>
      <c r="D111" s="8"/>
      <c r="E111" s="8"/>
      <c r="F111" s="4"/>
      <c r="G111" s="8"/>
      <c r="H111" s="8"/>
      <c r="I111" s="8"/>
      <c r="J111" s="13">
        <f>IF(AND(G111="Карта",H111="Оплачено"),F111,"")</f>
      </c>
      <c r="K111" s="14">
        <f>IF(AND(G111="Карта",H111="Не оплачено"),F111,"")</f>
      </c>
      <c r="L111" s="13">
        <f>IF(AND(G111="Наличные",H111="Оплачено"),F111,"")</f>
      </c>
      <c r="M111" s="14">
        <f>IF(AND(G111="Наличные",H111="Не оплачено"),F111,"")</f>
      </c>
      <c r="N111" s="13">
        <f>IF(AND(G111="Терминал",H111="Оплачено"),F111,"")</f>
      </c>
      <c r="O111" s="14">
        <f>IF(AND(G111="Терминал",H111="Не оплачено"),F111,"")</f>
      </c>
      <c r="P111" s="13">
        <f>IF(AND(G111="Перечисление",H111="Оплачено"),F111,"")</f>
      </c>
      <c r="Q111" s="14">
        <f>IF(AND(G111="Перечисление",H111="Не оплачено"),F111,"")</f>
      </c>
    </row>
    <row r="112">
      <c r="A112" s="9">
        <v>109</v>
      </c>
      <c r="B112" s="7"/>
      <c r="C112" s="6"/>
      <c r="D112" s="8"/>
      <c r="E112" s="8"/>
      <c r="F112" s="4"/>
      <c r="G112" s="8"/>
      <c r="H112" s="8"/>
      <c r="I112" s="8"/>
      <c r="J112" s="13">
        <f>IF(AND(G112="Карта",H112="Оплачено"),F112,"")</f>
      </c>
      <c r="K112" s="14">
        <f>IF(AND(G112="Карта",H112="Не оплачено"),F112,"")</f>
      </c>
      <c r="L112" s="13">
        <f>IF(AND(G112="Наличные",H112="Оплачено"),F112,"")</f>
      </c>
      <c r="M112" s="14">
        <f>IF(AND(G112="Наличные",H112="Не оплачено"),F112,"")</f>
      </c>
      <c r="N112" s="13">
        <f>IF(AND(G112="Терминал",H112="Оплачено"),F112,"")</f>
      </c>
      <c r="O112" s="14">
        <f>IF(AND(G112="Терминал",H112="Не оплачено"),F112,"")</f>
      </c>
      <c r="P112" s="13">
        <f>IF(AND(G112="Перечисление",H112="Оплачено"),F112,"")</f>
      </c>
      <c r="Q112" s="14">
        <f>IF(AND(G112="Перечисление",H112="Не оплачено"),F112,"")</f>
      </c>
    </row>
    <row r="113">
      <c r="A113" s="9">
        <v>110</v>
      </c>
      <c r="B113" s="7"/>
      <c r="C113" s="6"/>
      <c r="D113" s="8"/>
      <c r="E113" s="8"/>
      <c r="F113" s="4"/>
      <c r="G113" s="8"/>
      <c r="H113" s="8"/>
      <c r="I113" s="8"/>
      <c r="J113" s="13">
        <f>IF(AND(G113="Карта",H113="Оплачено"),F113,"")</f>
      </c>
      <c r="K113" s="14">
        <f>IF(AND(G113="Карта",H113="Не оплачено"),F113,"")</f>
      </c>
      <c r="L113" s="13">
        <f>IF(AND(G113="Наличные",H113="Оплачено"),F113,"")</f>
      </c>
      <c r="M113" s="14">
        <f>IF(AND(G113="Наличные",H113="Не оплачено"),F113,"")</f>
      </c>
      <c r="N113" s="13">
        <f>IF(AND(G113="Терминал",H113="Оплачено"),F113,"")</f>
      </c>
      <c r="O113" s="14">
        <f>IF(AND(G113="Терминал",H113="Не оплачено"),F113,"")</f>
      </c>
      <c r="P113" s="13">
        <f>IF(AND(G113="Перечисление",H113="Оплачено"),F113,"")</f>
      </c>
      <c r="Q113" s="14">
        <f>IF(AND(G113="Перечисление",H113="Не оплачено"),F113,"")</f>
      </c>
    </row>
    <row r="114">
      <c r="A114" s="9">
        <v>111</v>
      </c>
      <c r="B114" s="7"/>
      <c r="C114" s="6"/>
      <c r="D114" s="8"/>
      <c r="E114" s="8"/>
      <c r="F114" s="4"/>
      <c r="G114" s="8"/>
      <c r="H114" s="8"/>
      <c r="I114" s="8"/>
      <c r="J114" s="13">
        <f>IF(AND(G114="Карта",H114="Оплачено"),F114,"")</f>
      </c>
      <c r="K114" s="14">
        <f>IF(AND(G114="Карта",H114="Не оплачено"),F114,"")</f>
      </c>
      <c r="L114" s="13">
        <f>IF(AND(G114="Наличные",H114="Оплачено"),F114,"")</f>
      </c>
      <c r="M114" s="14">
        <f>IF(AND(G114="Наличные",H114="Не оплачено"),F114,"")</f>
      </c>
      <c r="N114" s="13">
        <f>IF(AND(G114="Терминал",H114="Оплачено"),F114,"")</f>
      </c>
      <c r="O114" s="14">
        <f>IF(AND(G114="Терминал",H114="Не оплачено"),F114,"")</f>
      </c>
      <c r="P114" s="13">
        <f>IF(AND(G114="Перечисление",H114="Оплачено"),F114,"")</f>
      </c>
      <c r="Q114" s="14">
        <f>IF(AND(G114="Перечисление",H114="Не оплачено"),F114,"")</f>
      </c>
    </row>
    <row r="115">
      <c r="A115" s="9">
        <v>112</v>
      </c>
      <c r="B115" s="7"/>
      <c r="C115" s="6"/>
      <c r="D115" s="8"/>
      <c r="E115" s="8"/>
      <c r="F115" s="4"/>
      <c r="G115" s="8"/>
      <c r="H115" s="8"/>
      <c r="I115" s="8"/>
      <c r="J115" s="13">
        <f>IF(AND(G115="Карта",H115="Оплачено"),F115,"")</f>
      </c>
      <c r="K115" s="14">
        <f>IF(AND(G115="Карта",H115="Не оплачено"),F115,"")</f>
      </c>
      <c r="L115" s="13">
        <f>IF(AND(G115="Наличные",H115="Оплачено"),F115,"")</f>
      </c>
      <c r="M115" s="14">
        <f>IF(AND(G115="Наличные",H115="Не оплачено"),F115,"")</f>
      </c>
      <c r="N115" s="13">
        <f>IF(AND(G115="Терминал",H115="Оплачено"),F115,"")</f>
      </c>
      <c r="O115" s="14">
        <f>IF(AND(G115="Терминал",H115="Не оплачено"),F115,"")</f>
      </c>
      <c r="P115" s="13">
        <f>IF(AND(G115="Перечисление",H115="Оплачено"),F115,"")</f>
      </c>
      <c r="Q115" s="14">
        <f>IF(AND(G115="Перечисление",H115="Не оплачено"),F115,"")</f>
      </c>
    </row>
    <row r="116">
      <c r="A116" s="9">
        <v>113</v>
      </c>
      <c r="B116" s="7"/>
      <c r="C116" s="6"/>
      <c r="D116" s="8"/>
      <c r="E116" s="8"/>
      <c r="F116" s="4"/>
      <c r="G116" s="8"/>
      <c r="H116" s="8"/>
      <c r="I116" s="8"/>
      <c r="J116" s="13">
        <f>IF(AND(G116="Карта",H116="Оплачено"),F116,"")</f>
      </c>
      <c r="K116" s="14">
        <f>IF(AND(G116="Карта",H116="Не оплачено"),F116,"")</f>
      </c>
      <c r="L116" s="13">
        <f>IF(AND(G116="Наличные",H116="Оплачено"),F116,"")</f>
      </c>
      <c r="M116" s="14">
        <f>IF(AND(G116="Наличные",H116="Не оплачено"),F116,"")</f>
      </c>
      <c r="N116" s="13">
        <f>IF(AND(G116="Терминал",H116="Оплачено"),F116,"")</f>
      </c>
      <c r="O116" s="14">
        <f>IF(AND(G116="Терминал",H116="Не оплачено"),F116,"")</f>
      </c>
      <c r="P116" s="13">
        <f>IF(AND(G116="Перечисление",H116="Оплачено"),F116,"")</f>
      </c>
      <c r="Q116" s="14">
        <f>IF(AND(G116="Перечисление",H116="Не оплачено"),F116,"")</f>
      </c>
    </row>
    <row r="117">
      <c r="A117" s="9">
        <v>114</v>
      </c>
      <c r="B117" s="7"/>
      <c r="C117" s="6"/>
      <c r="D117" s="8"/>
      <c r="E117" s="8"/>
      <c r="F117" s="4"/>
      <c r="G117" s="8"/>
      <c r="H117" s="8"/>
      <c r="I117" s="8"/>
      <c r="J117" s="13">
        <f>IF(AND(G117="Карта",H117="Оплачено"),F117,"")</f>
      </c>
      <c r="K117" s="14">
        <f>IF(AND(G117="Карта",H117="Не оплачено"),F117,"")</f>
      </c>
      <c r="L117" s="13">
        <f>IF(AND(G117="Наличные",H117="Оплачено"),F117,"")</f>
      </c>
      <c r="M117" s="14">
        <f>IF(AND(G117="Наличные",H117="Не оплачено"),F117,"")</f>
      </c>
      <c r="N117" s="13">
        <f>IF(AND(G117="Терминал",H117="Оплачено"),F117,"")</f>
      </c>
      <c r="O117" s="14">
        <f>IF(AND(G117="Терминал",H117="Не оплачено"),F117,"")</f>
      </c>
      <c r="P117" s="13">
        <f>IF(AND(G117="Перечисление",H117="Оплачено"),F117,"")</f>
      </c>
      <c r="Q117" s="14">
        <f>IF(AND(G117="Перечисление",H117="Не оплачено"),F117,"")</f>
      </c>
    </row>
    <row r="118">
      <c r="A118" s="9">
        <v>115</v>
      </c>
      <c r="B118" s="7"/>
      <c r="C118" s="6"/>
      <c r="D118" s="8"/>
      <c r="E118" s="8"/>
      <c r="F118" s="4"/>
      <c r="G118" s="8"/>
      <c r="H118" s="8"/>
      <c r="I118" s="8"/>
      <c r="J118" s="13">
        <f>IF(AND(G118="Карта",H118="Оплачено"),F118,"")</f>
      </c>
      <c r="K118" s="14">
        <f>IF(AND(G118="Карта",H118="Не оплачено"),F118,"")</f>
      </c>
      <c r="L118" s="13">
        <f>IF(AND(G118="Наличные",H118="Оплачено"),F118,"")</f>
      </c>
      <c r="M118" s="14">
        <f>IF(AND(G118="Наличные",H118="Не оплачено"),F118,"")</f>
      </c>
      <c r="N118" s="13">
        <f>IF(AND(G118="Терминал",H118="Оплачено"),F118,"")</f>
      </c>
      <c r="O118" s="14">
        <f>IF(AND(G118="Терминал",H118="Не оплачено"),F118,"")</f>
      </c>
      <c r="P118" s="13">
        <f>IF(AND(G118="Перечисление",H118="Оплачено"),F118,"")</f>
      </c>
      <c r="Q118" s="14">
        <f>IF(AND(G118="Перечисление",H118="Не оплачено"),F118,"")</f>
      </c>
    </row>
    <row r="119">
      <c r="A119" s="9">
        <v>116</v>
      </c>
      <c r="B119" s="7"/>
      <c r="C119" s="6"/>
      <c r="D119" s="8"/>
      <c r="E119" s="8"/>
      <c r="F119" s="4"/>
      <c r="G119" s="8"/>
      <c r="H119" s="8"/>
      <c r="I119" s="8"/>
      <c r="J119" s="13">
        <f>IF(AND(G119="Карта",H119="Оплачено"),F119,"")</f>
      </c>
      <c r="K119" s="14">
        <f>IF(AND(G119="Карта",H119="Не оплачено"),F119,"")</f>
      </c>
      <c r="L119" s="13">
        <f>IF(AND(G119="Наличные",H119="Оплачено"),F119,"")</f>
      </c>
      <c r="M119" s="14">
        <f>IF(AND(G119="Наличные",H119="Не оплачено"),F119,"")</f>
      </c>
      <c r="N119" s="13">
        <f>IF(AND(G119="Терминал",H119="Оплачено"),F119,"")</f>
      </c>
      <c r="O119" s="14">
        <f>IF(AND(G119="Терминал",H119="Не оплачено"),F119,"")</f>
      </c>
      <c r="P119" s="13">
        <f>IF(AND(G119="Перечисление",H119="Оплачено"),F119,"")</f>
      </c>
      <c r="Q119" s="14">
        <f>IF(AND(G119="Перечисление",H119="Не оплачено"),F119,"")</f>
      </c>
    </row>
    <row r="120">
      <c r="A120" s="9">
        <v>117</v>
      </c>
      <c r="B120" s="7"/>
      <c r="C120" s="6"/>
      <c r="D120" s="8"/>
      <c r="E120" s="8"/>
      <c r="F120" s="4"/>
      <c r="G120" s="8"/>
      <c r="H120" s="8"/>
      <c r="I120" s="8"/>
      <c r="J120" s="13">
        <f>IF(AND(G120="Карта",H120="Оплачено"),F120,"")</f>
      </c>
      <c r="K120" s="14">
        <f>IF(AND(G120="Карта",H120="Не оплачено"),F120,"")</f>
      </c>
      <c r="L120" s="13">
        <f>IF(AND(G120="Наличные",H120="Оплачено"),F120,"")</f>
      </c>
      <c r="M120" s="14">
        <f>IF(AND(G120="Наличные",H120="Не оплачено"),F120,"")</f>
      </c>
      <c r="N120" s="13">
        <f>IF(AND(G120="Терминал",H120="Оплачено"),F120,"")</f>
      </c>
      <c r="O120" s="14">
        <f>IF(AND(G120="Терминал",H120="Не оплачено"),F120,"")</f>
      </c>
      <c r="P120" s="13">
        <f>IF(AND(G120="Перечисление",H120="Оплачено"),F120,"")</f>
      </c>
      <c r="Q120" s="14">
        <f>IF(AND(G120="Перечисление",H120="Не оплачено"),F120,"")</f>
      </c>
    </row>
    <row r="121">
      <c r="A121" s="9">
        <v>118</v>
      </c>
      <c r="B121" s="7"/>
      <c r="C121" s="6"/>
      <c r="D121" s="8"/>
      <c r="E121" s="8"/>
      <c r="F121" s="4"/>
      <c r="G121" s="8"/>
      <c r="H121" s="8"/>
      <c r="I121" s="8"/>
      <c r="J121" s="13">
        <f>IF(AND(G121="Карта",H121="Оплачено"),F121,"")</f>
      </c>
      <c r="K121" s="14">
        <f>IF(AND(G121="Карта",H121="Не оплачено"),F121,"")</f>
      </c>
      <c r="L121" s="13">
        <f>IF(AND(G121="Наличные",H121="Оплачено"),F121,"")</f>
      </c>
      <c r="M121" s="14">
        <f>IF(AND(G121="Наличные",H121="Не оплачено"),F121,"")</f>
      </c>
      <c r="N121" s="13">
        <f>IF(AND(G121="Терминал",H121="Оплачено"),F121,"")</f>
      </c>
      <c r="O121" s="14">
        <f>IF(AND(G121="Терминал",H121="Не оплачено"),F121,"")</f>
      </c>
      <c r="P121" s="13">
        <f>IF(AND(G121="Перечисление",H121="Оплачено"),F121,"")</f>
      </c>
      <c r="Q121" s="14">
        <f>IF(AND(G121="Перечисление",H121="Не оплачено"),F121,"")</f>
      </c>
    </row>
    <row r="122">
      <c r="A122" s="9">
        <v>119</v>
      </c>
      <c r="B122" s="7"/>
      <c r="C122" s="6"/>
      <c r="D122" s="8"/>
      <c r="E122" s="8"/>
      <c r="F122" s="4"/>
      <c r="G122" s="8"/>
      <c r="H122" s="8"/>
      <c r="I122" s="8"/>
      <c r="J122" s="13">
        <f>IF(AND(G122="Карта",H122="Оплачено"),F122,"")</f>
      </c>
      <c r="K122" s="14">
        <f>IF(AND(G122="Карта",H122="Не оплачено"),F122,"")</f>
      </c>
      <c r="L122" s="13">
        <f>IF(AND(G122="Наличные",H122="Оплачено"),F122,"")</f>
      </c>
      <c r="M122" s="14">
        <f>IF(AND(G122="Наличные",H122="Не оплачено"),F122,"")</f>
      </c>
      <c r="N122" s="13">
        <f>IF(AND(G122="Терминал",H122="Оплачено"),F122,"")</f>
      </c>
      <c r="O122" s="14">
        <f>IF(AND(G122="Терминал",H122="Не оплачено"),F122,"")</f>
      </c>
      <c r="P122" s="13">
        <f>IF(AND(G122="Перечисление",H122="Оплачено"),F122,"")</f>
      </c>
      <c r="Q122" s="14">
        <f>IF(AND(G122="Перечисление",H122="Не оплачено"),F122,"")</f>
      </c>
    </row>
    <row r="123">
      <c r="A123" s="9">
        <v>120</v>
      </c>
      <c r="B123" s="7"/>
      <c r="C123" s="6"/>
      <c r="D123" s="8"/>
      <c r="E123" s="8"/>
      <c r="F123" s="4"/>
      <c r="G123" s="8"/>
      <c r="H123" s="8"/>
      <c r="I123" s="8"/>
      <c r="J123" s="13">
        <f>IF(AND(G123="Карта",H123="Оплачено"),F123,"")</f>
      </c>
      <c r="K123" s="14">
        <f>IF(AND(G123="Карта",H123="Не оплачено"),F123,"")</f>
      </c>
      <c r="L123" s="13">
        <f>IF(AND(G123="Наличные",H123="Оплачено"),F123,"")</f>
      </c>
      <c r="M123" s="14">
        <f>IF(AND(G123="Наличные",H123="Не оплачено"),F123,"")</f>
      </c>
      <c r="N123" s="13">
        <f>IF(AND(G123="Терминал",H123="Оплачено"),F123,"")</f>
      </c>
      <c r="O123" s="14">
        <f>IF(AND(G123="Терминал",H123="Не оплачено"),F123,"")</f>
      </c>
      <c r="P123" s="13">
        <f>IF(AND(G123="Перечисление",H123="Оплачено"),F123,"")</f>
      </c>
      <c r="Q123" s="14">
        <f>IF(AND(G123="Перечисление",H123="Не оплачено"),F123,"")</f>
      </c>
    </row>
    <row r="124">
      <c r="A124" s="9">
        <v>121</v>
      </c>
      <c r="B124" s="7"/>
      <c r="C124" s="6"/>
      <c r="D124" s="8"/>
      <c r="E124" s="8"/>
      <c r="F124" s="4"/>
      <c r="G124" s="8"/>
      <c r="H124" s="8"/>
      <c r="I124" s="8"/>
      <c r="J124" s="13">
        <f>IF(AND(G124="Карта",H124="Оплачено"),F124,"")</f>
      </c>
      <c r="K124" s="14">
        <f>IF(AND(G124="Карта",H124="Не оплачено"),F124,"")</f>
      </c>
      <c r="L124" s="13">
        <f>IF(AND(G124="Наличные",H124="Оплачено"),F124,"")</f>
      </c>
      <c r="M124" s="14">
        <f>IF(AND(G124="Наличные",H124="Не оплачено"),F124,"")</f>
      </c>
      <c r="N124" s="13">
        <f>IF(AND(G124="Терминал",H124="Оплачено"),F124,"")</f>
      </c>
      <c r="O124" s="14">
        <f>IF(AND(G124="Терминал",H124="Не оплачено"),F124,"")</f>
      </c>
      <c r="P124" s="13">
        <f>IF(AND(G124="Перечисление",H124="Оплачено"),F124,"")</f>
      </c>
      <c r="Q124" s="14">
        <f>IF(AND(G124="Перечисление",H124="Не оплачено"),F124,"")</f>
      </c>
    </row>
    <row r="125">
      <c r="A125" s="9">
        <v>122</v>
      </c>
      <c r="B125" s="7"/>
      <c r="C125" s="6"/>
      <c r="D125" s="8"/>
      <c r="E125" s="8"/>
      <c r="F125" s="4"/>
      <c r="G125" s="8"/>
      <c r="H125" s="8"/>
      <c r="I125" s="8"/>
      <c r="J125" s="13">
        <f>IF(AND(G125="Карта",H125="Оплачено"),F125,"")</f>
      </c>
      <c r="K125" s="14">
        <f>IF(AND(G125="Карта",H125="Не оплачено"),F125,"")</f>
      </c>
      <c r="L125" s="13">
        <f>IF(AND(G125="Наличные",H125="Оплачено"),F125,"")</f>
      </c>
      <c r="M125" s="14">
        <f>IF(AND(G125="Наличные",H125="Не оплачено"),F125,"")</f>
      </c>
      <c r="N125" s="13">
        <f>IF(AND(G125="Терминал",H125="Оплачено"),F125,"")</f>
      </c>
      <c r="O125" s="14">
        <f>IF(AND(G125="Терминал",H125="Не оплачено"),F125,"")</f>
      </c>
      <c r="P125" s="13">
        <f>IF(AND(G125="Перечисление",H125="Оплачено"),F125,"")</f>
      </c>
      <c r="Q125" s="14">
        <f>IF(AND(G125="Перечисление",H125="Не оплачено"),F125,"")</f>
      </c>
    </row>
    <row r="126">
      <c r="A126" s="9">
        <v>123</v>
      </c>
      <c r="B126" s="7"/>
      <c r="C126" s="6"/>
      <c r="D126" s="8"/>
      <c r="E126" s="8"/>
      <c r="F126" s="4"/>
      <c r="G126" s="8"/>
      <c r="H126" s="8"/>
      <c r="I126" s="8"/>
      <c r="J126" s="13">
        <f>IF(AND(G126="Карта",H126="Оплачено"),F126,"")</f>
      </c>
      <c r="K126" s="14">
        <f>IF(AND(G126="Карта",H126="Не оплачено"),F126,"")</f>
      </c>
      <c r="L126" s="13">
        <f>IF(AND(G126="Наличные",H126="Оплачено"),F126,"")</f>
      </c>
      <c r="M126" s="14">
        <f>IF(AND(G126="Наличные",H126="Не оплачено"),F126,"")</f>
      </c>
      <c r="N126" s="13">
        <f>IF(AND(G126="Терминал",H126="Оплачено"),F126,"")</f>
      </c>
      <c r="O126" s="14">
        <f>IF(AND(G126="Терминал",H126="Не оплачено"),F126,"")</f>
      </c>
      <c r="P126" s="13">
        <f>IF(AND(G126="Перечисление",H126="Оплачено"),F126,"")</f>
      </c>
      <c r="Q126" s="14">
        <f>IF(AND(G126="Перечисление",H126="Не оплачено"),F126,"")</f>
      </c>
    </row>
    <row r="127">
      <c r="A127" s="9">
        <v>124</v>
      </c>
      <c r="B127" s="7"/>
      <c r="C127" s="6"/>
      <c r="D127" s="8"/>
      <c r="E127" s="8"/>
      <c r="F127" s="4"/>
      <c r="G127" s="8"/>
      <c r="H127" s="8"/>
      <c r="I127" s="8"/>
      <c r="J127" s="13">
        <f>IF(AND(G127="Карта",H127="Оплачено"),F127,"")</f>
      </c>
      <c r="K127" s="14">
        <f>IF(AND(G127="Карта",H127="Не оплачено"),F127,"")</f>
      </c>
      <c r="L127" s="13">
        <f>IF(AND(G127="Наличные",H127="Оплачено"),F127,"")</f>
      </c>
      <c r="M127" s="14">
        <f>IF(AND(G127="Наличные",H127="Не оплачено"),F127,"")</f>
      </c>
      <c r="N127" s="13">
        <f>IF(AND(G127="Терминал",H127="Оплачено"),F127,"")</f>
      </c>
      <c r="O127" s="14">
        <f>IF(AND(G127="Терминал",H127="Не оплачено"),F127,"")</f>
      </c>
      <c r="P127" s="13">
        <f>IF(AND(G127="Перечисление",H127="Оплачено"),F127,"")</f>
      </c>
      <c r="Q127" s="14">
        <f>IF(AND(G127="Перечисление",H127="Не оплачено"),F127,"")</f>
      </c>
    </row>
    <row r="128">
      <c r="A128" s="9">
        <v>125</v>
      </c>
      <c r="B128" s="7"/>
      <c r="C128" s="6"/>
      <c r="D128" s="8"/>
      <c r="E128" s="8"/>
      <c r="F128" s="4"/>
      <c r="G128" s="8"/>
      <c r="H128" s="8"/>
      <c r="I128" s="8"/>
      <c r="J128" s="13">
        <f>IF(AND(G128="Карта",H128="Оплачено"),F128,"")</f>
      </c>
      <c r="K128" s="14">
        <f>IF(AND(G128="Карта",H128="Не оплачено"),F128,"")</f>
      </c>
      <c r="L128" s="13">
        <f>IF(AND(G128="Наличные",H128="Оплачено"),F128,"")</f>
      </c>
      <c r="M128" s="14">
        <f>IF(AND(G128="Наличные",H128="Не оплачено"),F128,"")</f>
      </c>
      <c r="N128" s="13">
        <f>IF(AND(G128="Терминал",H128="Оплачено"),F128,"")</f>
      </c>
      <c r="O128" s="14">
        <f>IF(AND(G128="Терминал",H128="Не оплачено"),F128,"")</f>
      </c>
      <c r="P128" s="13">
        <f>IF(AND(G128="Перечисление",H128="Оплачено"),F128,"")</f>
      </c>
      <c r="Q128" s="14">
        <f>IF(AND(G128="Перечисление",H128="Не оплачено"),F128,"")</f>
      </c>
    </row>
    <row r="129">
      <c r="A129" s="9">
        <v>126</v>
      </c>
      <c r="B129" s="7"/>
      <c r="C129" s="6"/>
      <c r="D129" s="8"/>
      <c r="E129" s="8"/>
      <c r="F129" s="4"/>
      <c r="G129" s="8"/>
      <c r="H129" s="8"/>
      <c r="I129" s="8"/>
      <c r="J129" s="13">
        <f>IF(AND(G129="Карта",H129="Оплачено"),F129,"")</f>
      </c>
      <c r="K129" s="14">
        <f>IF(AND(G129="Карта",H129="Не оплачено"),F129,"")</f>
      </c>
      <c r="L129" s="13">
        <f>IF(AND(G129="Наличные",H129="Оплачено"),F129,"")</f>
      </c>
      <c r="M129" s="14">
        <f>IF(AND(G129="Наличные",H129="Не оплачено"),F129,"")</f>
      </c>
      <c r="N129" s="13">
        <f>IF(AND(G129="Терминал",H129="Оплачено"),F129,"")</f>
      </c>
      <c r="O129" s="14">
        <f>IF(AND(G129="Терминал",H129="Не оплачено"),F129,"")</f>
      </c>
      <c r="P129" s="13">
        <f>IF(AND(G129="Перечисление",H129="Оплачено"),F129,"")</f>
      </c>
      <c r="Q129" s="14">
        <f>IF(AND(G129="Перечисление",H129="Не оплачено"),F129,"")</f>
      </c>
    </row>
    <row r="130">
      <c r="A130" s="9">
        <v>127</v>
      </c>
      <c r="B130" s="7"/>
      <c r="C130" s="6"/>
      <c r="D130" s="8"/>
      <c r="E130" s="8"/>
      <c r="F130" s="4"/>
      <c r="G130" s="8"/>
      <c r="H130" s="8"/>
      <c r="I130" s="8"/>
      <c r="J130" s="13">
        <f>IF(AND(G130="Карта",H130="Оплачено"),F130,"")</f>
      </c>
      <c r="K130" s="14">
        <f>IF(AND(G130="Карта",H130="Не оплачено"),F130,"")</f>
      </c>
      <c r="L130" s="13">
        <f>IF(AND(G130="Наличные",H130="Оплачено"),F130,"")</f>
      </c>
      <c r="M130" s="14">
        <f>IF(AND(G130="Наличные",H130="Не оплачено"),F130,"")</f>
      </c>
      <c r="N130" s="13">
        <f>IF(AND(G130="Терминал",H130="Оплачено"),F130,"")</f>
      </c>
      <c r="O130" s="14">
        <f>IF(AND(G130="Терминал",H130="Не оплачено"),F130,"")</f>
      </c>
      <c r="P130" s="13">
        <f>IF(AND(G130="Перечисление",H130="Оплачено"),F130,"")</f>
      </c>
      <c r="Q130" s="14">
        <f>IF(AND(G130="Перечисление",H130="Не оплачено"),F130,"")</f>
      </c>
    </row>
    <row r="131">
      <c r="A131" s="9">
        <v>128</v>
      </c>
      <c r="B131" s="7"/>
      <c r="C131" s="6"/>
      <c r="D131" s="8"/>
      <c r="E131" s="8"/>
      <c r="F131" s="4"/>
      <c r="G131" s="8"/>
      <c r="H131" s="8"/>
      <c r="I131" s="8"/>
      <c r="J131" s="13">
        <f>IF(AND(G131="Карта",H131="Оплачено"),F131,"")</f>
      </c>
      <c r="K131" s="14">
        <f>IF(AND(G131="Карта",H131="Не оплачено"),F131,"")</f>
      </c>
      <c r="L131" s="13">
        <f>IF(AND(G131="Наличные",H131="Оплачено"),F131,"")</f>
      </c>
      <c r="M131" s="14">
        <f>IF(AND(G131="Наличные",H131="Не оплачено"),F131,"")</f>
      </c>
      <c r="N131" s="13">
        <f>IF(AND(G131="Терминал",H131="Оплачено"),F131,"")</f>
      </c>
      <c r="O131" s="14">
        <f>IF(AND(G131="Терминал",H131="Не оплачено"),F131,"")</f>
      </c>
      <c r="P131" s="13">
        <f>IF(AND(G131="Перечисление",H131="Оплачено"),F131,"")</f>
      </c>
      <c r="Q131" s="14">
        <f>IF(AND(G131="Перечисление",H131="Не оплачено"),F131,"")</f>
      </c>
    </row>
    <row r="132">
      <c r="A132" s="9">
        <v>129</v>
      </c>
      <c r="B132" s="7"/>
      <c r="C132" s="6"/>
      <c r="D132" s="8"/>
      <c r="E132" s="8"/>
      <c r="F132" s="4"/>
      <c r="G132" s="8"/>
      <c r="H132" s="8"/>
      <c r="I132" s="8"/>
      <c r="J132" s="13">
        <f>IF(AND(G132="Карта",H132="Оплачено"),F132,"")</f>
      </c>
      <c r="K132" s="14">
        <f>IF(AND(G132="Карта",H132="Не оплачено"),F132,"")</f>
      </c>
      <c r="L132" s="13">
        <f>IF(AND(G132="Наличные",H132="Оплачено"),F132,"")</f>
      </c>
      <c r="M132" s="14">
        <f>IF(AND(G132="Наличные",H132="Не оплачено"),F132,"")</f>
      </c>
      <c r="N132" s="13">
        <f>IF(AND(G132="Терминал",H132="Оплачено"),F132,"")</f>
      </c>
      <c r="O132" s="14">
        <f>IF(AND(G132="Терминал",H132="Не оплачено"),F132,"")</f>
      </c>
      <c r="P132" s="13">
        <f>IF(AND(G132="Перечисление",H132="Оплачено"),F132,"")</f>
      </c>
      <c r="Q132" s="14">
        <f>IF(AND(G132="Перечисление",H132="Не оплачено"),F132,"")</f>
      </c>
    </row>
    <row r="133">
      <c r="A133" s="9">
        <v>130</v>
      </c>
      <c r="B133" s="7"/>
      <c r="C133" s="6"/>
      <c r="D133" s="8"/>
      <c r="E133" s="8"/>
      <c r="F133" s="4"/>
      <c r="G133" s="8"/>
      <c r="H133" s="8"/>
      <c r="I133" s="8"/>
      <c r="J133" s="13">
        <f>IF(AND(G133="Карта",H133="Оплачено"),F133,"")</f>
      </c>
      <c r="K133" s="14">
        <f>IF(AND(G133="Карта",H133="Не оплачено"),F133,"")</f>
      </c>
      <c r="L133" s="13">
        <f>IF(AND(G133="Наличные",H133="Оплачено"),F133,"")</f>
      </c>
      <c r="M133" s="14">
        <f>IF(AND(G133="Наличные",H133="Не оплачено"),F133,"")</f>
      </c>
      <c r="N133" s="13">
        <f>IF(AND(G133="Терминал",H133="Оплачено"),F133,"")</f>
      </c>
      <c r="O133" s="14">
        <f>IF(AND(G133="Терминал",H133="Не оплачено"),F133,"")</f>
      </c>
      <c r="P133" s="13">
        <f>IF(AND(G133="Перечисление",H133="Оплачено"),F133,"")</f>
      </c>
      <c r="Q133" s="14">
        <f>IF(AND(G133="Перечисление",H133="Не оплачено"),F133,"")</f>
      </c>
    </row>
    <row r="134">
      <c r="A134" s="9">
        <v>131</v>
      </c>
      <c r="B134" s="7"/>
      <c r="C134" s="6"/>
      <c r="D134" s="8"/>
      <c r="E134" s="8"/>
      <c r="F134" s="4"/>
      <c r="G134" s="8"/>
      <c r="H134" s="8"/>
      <c r="I134" s="8"/>
      <c r="J134" s="13">
        <f>IF(AND(G134="Карта",H134="Оплачено"),F134,"")</f>
      </c>
      <c r="K134" s="14">
        <f>IF(AND(G134="Карта",H134="Не оплачено"),F134,"")</f>
      </c>
      <c r="L134" s="13">
        <f>IF(AND(G134="Наличные",H134="Оплачено"),F134,"")</f>
      </c>
      <c r="M134" s="14">
        <f>IF(AND(G134="Наличные",H134="Не оплачено"),F134,"")</f>
      </c>
      <c r="N134" s="13">
        <f>IF(AND(G134="Терминал",H134="Оплачено"),F134,"")</f>
      </c>
      <c r="O134" s="14">
        <f>IF(AND(G134="Терминал",H134="Не оплачено"),F134,"")</f>
      </c>
      <c r="P134" s="13">
        <f>IF(AND(G134="Перечисление",H134="Оплачено"),F134,"")</f>
      </c>
      <c r="Q134" s="14">
        <f>IF(AND(G134="Перечисление",H134="Не оплачено"),F134,"")</f>
      </c>
    </row>
    <row r="135">
      <c r="A135" s="9">
        <v>132</v>
      </c>
      <c r="B135" s="7"/>
      <c r="C135" s="6"/>
      <c r="D135" s="8"/>
      <c r="E135" s="8"/>
      <c r="F135" s="4"/>
      <c r="G135" s="8"/>
      <c r="H135" s="8"/>
      <c r="I135" s="8"/>
      <c r="J135" s="13">
        <f>IF(AND(G135="Карта",H135="Оплачено"),F135,"")</f>
      </c>
      <c r="K135" s="14">
        <f>IF(AND(G135="Карта",H135="Не оплачено"),F135,"")</f>
      </c>
      <c r="L135" s="13">
        <f>IF(AND(G135="Наличные",H135="Оплачено"),F135,"")</f>
      </c>
      <c r="M135" s="14">
        <f>IF(AND(G135="Наличные",H135="Не оплачено"),F135,"")</f>
      </c>
      <c r="N135" s="13">
        <f>IF(AND(G135="Терминал",H135="Оплачено"),F135,"")</f>
      </c>
      <c r="O135" s="14">
        <f>IF(AND(G135="Терминал",H135="Не оплачено"),F135,"")</f>
      </c>
      <c r="P135" s="13">
        <f>IF(AND(G135="Перечисление",H135="Оплачено"),F135,"")</f>
      </c>
      <c r="Q135" s="14">
        <f>IF(AND(G135="Перечисление",H135="Не оплачено"),F135,"")</f>
      </c>
    </row>
    <row r="136">
      <c r="A136" s="9">
        <v>133</v>
      </c>
      <c r="B136" s="7"/>
      <c r="C136" s="6"/>
      <c r="D136" s="8"/>
      <c r="E136" s="8"/>
      <c r="F136" s="4"/>
      <c r="G136" s="8"/>
      <c r="H136" s="8"/>
      <c r="I136" s="8"/>
      <c r="J136" s="13">
        <f>IF(AND(G136="Карта",H136="Оплачено"),F136,"")</f>
      </c>
      <c r="K136" s="14">
        <f>IF(AND(G136="Карта",H136="Не оплачено"),F136,"")</f>
      </c>
      <c r="L136" s="13">
        <f>IF(AND(G136="Наличные",H136="Оплачено"),F136,"")</f>
      </c>
      <c r="M136" s="14">
        <f>IF(AND(G136="Наличные",H136="Не оплачено"),F136,"")</f>
      </c>
      <c r="N136" s="13">
        <f>IF(AND(G136="Терминал",H136="Оплачено"),F136,"")</f>
      </c>
      <c r="O136" s="14">
        <f>IF(AND(G136="Терминал",H136="Не оплачено"),F136,"")</f>
      </c>
      <c r="P136" s="13">
        <f>IF(AND(G136="Перечисление",H136="Оплачено"),F136,"")</f>
      </c>
      <c r="Q136" s="14">
        <f>IF(AND(G136="Перечисление",H136="Не оплачено"),F136,"")</f>
      </c>
    </row>
    <row r="137">
      <c r="A137" s="9">
        <v>134</v>
      </c>
      <c r="B137" s="7"/>
      <c r="C137" s="6"/>
      <c r="D137" s="8"/>
      <c r="E137" s="8"/>
      <c r="F137" s="4"/>
      <c r="G137" s="8"/>
      <c r="H137" s="8"/>
      <c r="I137" s="8"/>
      <c r="J137" s="13">
        <f>IF(AND(G137="Карта",H137="Оплачено"),F137,"")</f>
      </c>
      <c r="K137" s="14">
        <f>IF(AND(G137="Карта",H137="Не оплачено"),F137,"")</f>
      </c>
      <c r="L137" s="13">
        <f>IF(AND(G137="Наличные",H137="Оплачено"),F137,"")</f>
      </c>
      <c r="M137" s="14">
        <f>IF(AND(G137="Наличные",H137="Не оплачено"),F137,"")</f>
      </c>
      <c r="N137" s="13">
        <f>IF(AND(G137="Терминал",H137="Оплачено"),F137,"")</f>
      </c>
      <c r="O137" s="14">
        <f>IF(AND(G137="Терминал",H137="Не оплачено"),F137,"")</f>
      </c>
      <c r="P137" s="13">
        <f>IF(AND(G137="Перечисление",H137="Оплачено"),F137,"")</f>
      </c>
      <c r="Q137" s="14">
        <f>IF(AND(G137="Перечисление",H137="Не оплачено"),F137,"")</f>
      </c>
    </row>
    <row r="138">
      <c r="A138" s="9">
        <v>135</v>
      </c>
      <c r="B138" s="7"/>
      <c r="C138" s="6"/>
      <c r="D138" s="8"/>
      <c r="E138" s="8"/>
      <c r="F138" s="4"/>
      <c r="G138" s="8"/>
      <c r="H138" s="8"/>
      <c r="I138" s="8"/>
      <c r="J138" s="13">
        <f>IF(AND(G138="Карта",H138="Оплачено"),F138,"")</f>
      </c>
      <c r="K138" s="14">
        <f>IF(AND(G138="Карта",H138="Не оплачено"),F138,"")</f>
      </c>
      <c r="L138" s="13">
        <f>IF(AND(G138="Наличные",H138="Оплачено"),F138,"")</f>
      </c>
      <c r="M138" s="14">
        <f>IF(AND(G138="Наличные",H138="Не оплачено"),F138,"")</f>
      </c>
      <c r="N138" s="13">
        <f>IF(AND(G138="Терминал",H138="Оплачено"),F138,"")</f>
      </c>
      <c r="O138" s="14">
        <f>IF(AND(G138="Терминал",H138="Не оплачено"),F138,"")</f>
      </c>
      <c r="P138" s="13">
        <f>IF(AND(G138="Перечисление",H138="Оплачено"),F138,"")</f>
      </c>
      <c r="Q138" s="14">
        <f>IF(AND(G138="Перечисление",H138="Не оплачено"),F138,"")</f>
      </c>
    </row>
    <row r="139">
      <c r="A139" s="9">
        <v>136</v>
      </c>
      <c r="B139" s="7"/>
      <c r="C139" s="6"/>
      <c r="D139" s="8"/>
      <c r="E139" s="8"/>
      <c r="F139" s="4"/>
      <c r="G139" s="8"/>
      <c r="H139" s="8"/>
      <c r="I139" s="8"/>
      <c r="J139" s="13">
        <f>IF(AND(G139="Карта",H139="Оплачено"),F139,"")</f>
      </c>
      <c r="K139" s="14">
        <f>IF(AND(G139="Карта",H139="Не оплачено"),F139,"")</f>
      </c>
      <c r="L139" s="13">
        <f>IF(AND(G139="Наличные",H139="Оплачено"),F139,"")</f>
      </c>
      <c r="M139" s="14">
        <f>IF(AND(G139="Наличные",H139="Не оплачено"),F139,"")</f>
      </c>
      <c r="N139" s="13">
        <f>IF(AND(G139="Терминал",H139="Оплачено"),F139,"")</f>
      </c>
      <c r="O139" s="14">
        <f>IF(AND(G139="Терминал",H139="Не оплачено"),F139,"")</f>
      </c>
      <c r="P139" s="13">
        <f>IF(AND(G139="Перечисление",H139="Оплачено"),F139,"")</f>
      </c>
      <c r="Q139" s="14">
        <f>IF(AND(G139="Перечисление",H139="Не оплачено"),F139,"")</f>
      </c>
    </row>
    <row r="140">
      <c r="A140" s="9">
        <v>137</v>
      </c>
      <c r="B140" s="7"/>
      <c r="C140" s="6"/>
      <c r="D140" s="8"/>
      <c r="E140" s="8"/>
      <c r="F140" s="4"/>
      <c r="G140" s="8"/>
      <c r="H140" s="8"/>
      <c r="I140" s="8"/>
      <c r="J140" s="13">
        <f>IF(AND(G140="Карта",H140="Оплачено"),F140,"")</f>
      </c>
      <c r="K140" s="14">
        <f>IF(AND(G140="Карта",H140="Не оплачено"),F140,"")</f>
      </c>
      <c r="L140" s="13">
        <f>IF(AND(G140="Наличные",H140="Оплачено"),F140,"")</f>
      </c>
      <c r="M140" s="14">
        <f>IF(AND(G140="Наличные",H140="Не оплачено"),F140,"")</f>
      </c>
      <c r="N140" s="13">
        <f>IF(AND(G140="Терминал",H140="Оплачено"),F140,"")</f>
      </c>
      <c r="O140" s="14">
        <f>IF(AND(G140="Терминал",H140="Не оплачено"),F140,"")</f>
      </c>
      <c r="P140" s="13">
        <f>IF(AND(G140="Перечисление",H140="Оплачено"),F140,"")</f>
      </c>
      <c r="Q140" s="14">
        <f>IF(AND(G140="Перечисление",H140="Не оплачено"),F140,"")</f>
      </c>
    </row>
    <row r="141">
      <c r="A141" s="9">
        <v>138</v>
      </c>
      <c r="B141" s="7"/>
      <c r="C141" s="6"/>
      <c r="D141" s="8"/>
      <c r="E141" s="8"/>
      <c r="F141" s="4"/>
      <c r="G141" s="8"/>
      <c r="H141" s="8"/>
      <c r="I141" s="8"/>
      <c r="J141" s="13">
        <f>IF(AND(G141="Карта",H141="Оплачено"),F141,"")</f>
      </c>
      <c r="K141" s="14">
        <f>IF(AND(G141="Карта",H141="Не оплачено"),F141,"")</f>
      </c>
      <c r="L141" s="13">
        <f>IF(AND(G141="Наличные",H141="Оплачено"),F141,"")</f>
      </c>
      <c r="M141" s="14">
        <f>IF(AND(G141="Наличные",H141="Не оплачено"),F141,"")</f>
      </c>
      <c r="N141" s="13">
        <f>IF(AND(G141="Терминал",H141="Оплачено"),F141,"")</f>
      </c>
      <c r="O141" s="14">
        <f>IF(AND(G141="Терминал",H141="Не оплачено"),F141,"")</f>
      </c>
      <c r="P141" s="13">
        <f>IF(AND(G141="Перечисление",H141="Оплачено"),F141,"")</f>
      </c>
      <c r="Q141" s="14">
        <f>IF(AND(G141="Перечисление",H141="Не оплачено"),F141,"")</f>
      </c>
    </row>
    <row r="142">
      <c r="A142" s="9">
        <v>139</v>
      </c>
      <c r="B142" s="7"/>
      <c r="C142" s="6"/>
      <c r="D142" s="8"/>
      <c r="E142" s="8"/>
      <c r="F142" s="4"/>
      <c r="G142" s="8"/>
      <c r="H142" s="8"/>
      <c r="I142" s="8"/>
      <c r="J142" s="13">
        <f>IF(AND(G142="Карта",H142="Оплачено"),F142,"")</f>
      </c>
      <c r="K142" s="14">
        <f>IF(AND(G142="Карта",H142="Не оплачено"),F142,"")</f>
      </c>
      <c r="L142" s="13">
        <f>IF(AND(G142="Наличные",H142="Оплачено"),F142,"")</f>
      </c>
      <c r="M142" s="14">
        <f>IF(AND(G142="Наличные",H142="Не оплачено"),F142,"")</f>
      </c>
      <c r="N142" s="13">
        <f>IF(AND(G142="Терминал",H142="Оплачено"),F142,"")</f>
      </c>
      <c r="O142" s="14">
        <f>IF(AND(G142="Терминал",H142="Не оплачено"),F142,"")</f>
      </c>
      <c r="P142" s="13">
        <f>IF(AND(G142="Перечисление",H142="Оплачено"),F142,"")</f>
      </c>
      <c r="Q142" s="14">
        <f>IF(AND(G142="Перечисление",H142="Не оплачено"),F142,"")</f>
      </c>
    </row>
    <row r="143">
      <c r="A143" s="9">
        <v>140</v>
      </c>
      <c r="B143" s="7"/>
      <c r="C143" s="6"/>
      <c r="D143" s="8"/>
      <c r="E143" s="8"/>
      <c r="F143" s="4"/>
      <c r="G143" s="8"/>
      <c r="H143" s="8"/>
      <c r="I143" s="8"/>
      <c r="J143" s="13">
        <f>IF(AND(G143="Карта",H143="Оплачено"),F143,"")</f>
      </c>
      <c r="K143" s="14">
        <f>IF(AND(G143="Карта",H143="Не оплачено"),F143,"")</f>
      </c>
      <c r="L143" s="13">
        <f>IF(AND(G143="Наличные",H143="Оплачено"),F143,"")</f>
      </c>
      <c r="M143" s="14">
        <f>IF(AND(G143="Наличные",H143="Не оплачено"),F143,"")</f>
      </c>
      <c r="N143" s="13">
        <f>IF(AND(G143="Терминал",H143="Оплачено"),F143,"")</f>
      </c>
      <c r="O143" s="14">
        <f>IF(AND(G143="Терминал",H143="Не оплачено"),F143,"")</f>
      </c>
      <c r="P143" s="13">
        <f>IF(AND(G143="Перечисление",H143="Оплачено"),F143,"")</f>
      </c>
      <c r="Q143" s="14">
        <f>IF(AND(G143="Перечисление",H143="Не оплачено"),F143,"")</f>
      </c>
    </row>
    <row r="144">
      <c r="A144" s="9">
        <v>141</v>
      </c>
      <c r="B144" s="7"/>
      <c r="C144" s="6"/>
      <c r="D144" s="8"/>
      <c r="E144" s="8"/>
      <c r="F144" s="4"/>
      <c r="G144" s="8"/>
      <c r="H144" s="8"/>
      <c r="I144" s="8"/>
      <c r="J144" s="13">
        <f>IF(AND(G144="Карта",H144="Оплачено"),F144,"")</f>
      </c>
      <c r="K144" s="14">
        <f>IF(AND(G144="Карта",H144="Не оплачено"),F144,"")</f>
      </c>
      <c r="L144" s="13">
        <f>IF(AND(G144="Наличные",H144="Оплачено"),F144,"")</f>
      </c>
      <c r="M144" s="14">
        <f>IF(AND(G144="Наличные",H144="Не оплачено"),F144,"")</f>
      </c>
      <c r="N144" s="13">
        <f>IF(AND(G144="Терминал",H144="Оплачено"),F144,"")</f>
      </c>
      <c r="O144" s="14">
        <f>IF(AND(G144="Терминал",H144="Не оплачено"),F144,"")</f>
      </c>
      <c r="P144" s="13">
        <f>IF(AND(G144="Перечисление",H144="Оплачено"),F144,"")</f>
      </c>
      <c r="Q144" s="14">
        <f>IF(AND(G144="Перечисление",H144="Не оплачено"),F144,"")</f>
      </c>
    </row>
    <row r="145">
      <c r="A145" s="9">
        <v>142</v>
      </c>
      <c r="B145" s="7"/>
      <c r="C145" s="6"/>
      <c r="D145" s="8"/>
      <c r="E145" s="8"/>
      <c r="F145" s="4"/>
      <c r="G145" s="8"/>
      <c r="H145" s="8"/>
      <c r="I145" s="8"/>
      <c r="J145" s="13">
        <f>IF(AND(G145="Карта",H145="Оплачено"),F145,"")</f>
      </c>
      <c r="K145" s="14">
        <f>IF(AND(G145="Карта",H145="Не оплачено"),F145,"")</f>
      </c>
      <c r="L145" s="13">
        <f>IF(AND(G145="Наличные",H145="Оплачено"),F145,"")</f>
      </c>
      <c r="M145" s="14">
        <f>IF(AND(G145="Наличные",H145="Не оплачено"),F145,"")</f>
      </c>
      <c r="N145" s="13">
        <f>IF(AND(G145="Терминал",H145="Оплачено"),F145,"")</f>
      </c>
      <c r="O145" s="14">
        <f>IF(AND(G145="Терминал",H145="Не оплачено"),F145,"")</f>
      </c>
      <c r="P145" s="13">
        <f>IF(AND(G145="Перечисление",H145="Оплачено"),F145,"")</f>
      </c>
      <c r="Q145" s="14">
        <f>IF(AND(G145="Перечисление",H145="Не оплачено"),F145,"")</f>
      </c>
    </row>
    <row r="146">
      <c r="A146" s="9">
        <v>143</v>
      </c>
      <c r="B146" s="7"/>
      <c r="C146" s="6"/>
      <c r="D146" s="8"/>
      <c r="E146" s="8"/>
      <c r="F146" s="4"/>
      <c r="G146" s="8"/>
      <c r="H146" s="8"/>
      <c r="I146" s="8"/>
      <c r="J146" s="13">
        <f>IF(AND(G146="Карта",H146="Оплачено"),F146,"")</f>
      </c>
      <c r="K146" s="14">
        <f>IF(AND(G146="Карта",H146="Не оплачено"),F146,"")</f>
      </c>
      <c r="L146" s="13">
        <f>IF(AND(G146="Наличные",H146="Оплачено"),F146,"")</f>
      </c>
      <c r="M146" s="14">
        <f>IF(AND(G146="Наличные",H146="Не оплачено"),F146,"")</f>
      </c>
      <c r="N146" s="13">
        <f>IF(AND(G146="Терминал",H146="Оплачено"),F146,"")</f>
      </c>
      <c r="O146" s="14">
        <f>IF(AND(G146="Терминал",H146="Не оплачено"),F146,"")</f>
      </c>
      <c r="P146" s="13">
        <f>IF(AND(G146="Перечисление",H146="Оплачено"),F146,"")</f>
      </c>
      <c r="Q146" s="14">
        <f>IF(AND(G146="Перечисление",H146="Не оплачено"),F146,"")</f>
      </c>
    </row>
    <row r="147">
      <c r="A147" s="9">
        <v>144</v>
      </c>
      <c r="B147" s="7"/>
      <c r="C147" s="6"/>
      <c r="D147" s="8"/>
      <c r="E147" s="8"/>
      <c r="F147" s="4"/>
      <c r="G147" s="8"/>
      <c r="H147" s="8"/>
      <c r="I147" s="8"/>
      <c r="J147" s="13">
        <f>IF(AND(G147="Карта",H147="Оплачено"),F147,"")</f>
      </c>
      <c r="K147" s="14">
        <f>IF(AND(G147="Карта",H147="Не оплачено"),F147,"")</f>
      </c>
      <c r="L147" s="13">
        <f>IF(AND(G147="Наличные",H147="Оплачено"),F147,"")</f>
      </c>
      <c r="M147" s="14">
        <f>IF(AND(G147="Наличные",H147="Не оплачено"),F147,"")</f>
      </c>
      <c r="N147" s="13">
        <f>IF(AND(G147="Терминал",H147="Оплачено"),F147,"")</f>
      </c>
      <c r="O147" s="14">
        <f>IF(AND(G147="Терминал",H147="Не оплачено"),F147,"")</f>
      </c>
      <c r="P147" s="13">
        <f>IF(AND(G147="Перечисление",H147="Оплачено"),F147,"")</f>
      </c>
      <c r="Q147" s="14">
        <f>IF(AND(G147="Перечисление",H147="Не оплачено"),F147,"")</f>
      </c>
    </row>
    <row r="148">
      <c r="A148" s="9">
        <v>145</v>
      </c>
      <c r="B148" s="7"/>
      <c r="C148" s="6"/>
      <c r="D148" s="8"/>
      <c r="E148" s="8"/>
      <c r="F148" s="4"/>
      <c r="G148" s="8"/>
      <c r="H148" s="8"/>
      <c r="I148" s="8"/>
      <c r="J148" s="13">
        <f>IF(AND(G148="Карта",H148="Оплачено"),F148,"")</f>
      </c>
      <c r="K148" s="14">
        <f>IF(AND(G148="Карта",H148="Не оплачено"),F148,"")</f>
      </c>
      <c r="L148" s="13">
        <f>IF(AND(G148="Наличные",H148="Оплачено"),F148,"")</f>
      </c>
      <c r="M148" s="14">
        <f>IF(AND(G148="Наличные",H148="Не оплачено"),F148,"")</f>
      </c>
      <c r="N148" s="13">
        <f>IF(AND(G148="Терминал",H148="Оплачено"),F148,"")</f>
      </c>
      <c r="O148" s="14">
        <f>IF(AND(G148="Терминал",H148="Не оплачено"),F148,"")</f>
      </c>
      <c r="P148" s="13">
        <f>IF(AND(G148="Перечисление",H148="Оплачено"),F148,"")</f>
      </c>
      <c r="Q148" s="14">
        <f>IF(AND(G148="Перечисление",H148="Не оплачено"),F148,"")</f>
      </c>
    </row>
    <row r="149">
      <c r="A149" s="9">
        <v>146</v>
      </c>
      <c r="B149" s="7"/>
      <c r="C149" s="6"/>
      <c r="D149" s="8"/>
      <c r="E149" s="8"/>
      <c r="F149" s="4"/>
      <c r="G149" s="8"/>
      <c r="H149" s="8"/>
      <c r="I149" s="8"/>
      <c r="J149" s="13">
        <f>IF(AND(G149="Карта",H149="Оплачено"),F149,"")</f>
      </c>
      <c r="K149" s="14">
        <f>IF(AND(G149="Карта",H149="Не оплачено"),F149,"")</f>
      </c>
      <c r="L149" s="13">
        <f>IF(AND(G149="Наличные",H149="Оплачено"),F149,"")</f>
      </c>
      <c r="M149" s="14">
        <f>IF(AND(G149="Наличные",H149="Не оплачено"),F149,"")</f>
      </c>
      <c r="N149" s="13">
        <f>IF(AND(G149="Терминал",H149="Оплачено"),F149,"")</f>
      </c>
      <c r="O149" s="14">
        <f>IF(AND(G149="Терминал",H149="Не оплачено"),F149,"")</f>
      </c>
      <c r="P149" s="13">
        <f>IF(AND(G149="Перечисление",H149="Оплачено"),F149,"")</f>
      </c>
      <c r="Q149" s="14">
        <f>IF(AND(G149="Перечисление",H149="Не оплачено"),F149,"")</f>
      </c>
    </row>
    <row r="150">
      <c r="A150" s="9">
        <v>147</v>
      </c>
      <c r="B150" s="7"/>
      <c r="C150" s="6"/>
      <c r="D150" s="8"/>
      <c r="E150" s="8"/>
      <c r="F150" s="4"/>
      <c r="G150" s="8"/>
      <c r="H150" s="8"/>
      <c r="I150" s="8"/>
      <c r="J150" s="13">
        <f>IF(AND(G150="Карта",H150="Оплачено"),F150,"")</f>
      </c>
      <c r="K150" s="14">
        <f>IF(AND(G150="Карта",H150="Не оплачено"),F150,"")</f>
      </c>
      <c r="L150" s="13">
        <f>IF(AND(G150="Наличные",H150="Оплачено"),F150,"")</f>
      </c>
      <c r="M150" s="14">
        <f>IF(AND(G150="Наличные",H150="Не оплачено"),F150,"")</f>
      </c>
      <c r="N150" s="13">
        <f>IF(AND(G150="Терминал",H150="Оплачено"),F150,"")</f>
      </c>
      <c r="O150" s="14">
        <f>IF(AND(G150="Терминал",H150="Не оплачено"),F150,"")</f>
      </c>
      <c r="P150" s="13">
        <f>IF(AND(G150="Перечисление",H150="Оплачено"),F150,"")</f>
      </c>
      <c r="Q150" s="14">
        <f>IF(AND(G150="Перечисление",H150="Не оплачено"),F150,"")</f>
      </c>
    </row>
    <row r="151">
      <c r="A151" s="9">
        <v>148</v>
      </c>
      <c r="B151" s="7"/>
      <c r="C151" s="6"/>
      <c r="D151" s="8"/>
      <c r="E151" s="8"/>
      <c r="F151" s="4"/>
      <c r="G151" s="8"/>
      <c r="H151" s="8"/>
      <c r="I151" s="8"/>
      <c r="J151" s="13">
        <f>IF(AND(G151="Карта",H151="Оплачено"),F151,"")</f>
      </c>
      <c r="K151" s="14">
        <f>IF(AND(G151="Карта",H151="Не оплачено"),F151,"")</f>
      </c>
      <c r="L151" s="13">
        <f>IF(AND(G151="Наличные",H151="Оплачено"),F151,"")</f>
      </c>
      <c r="M151" s="14">
        <f>IF(AND(G151="Наличные",H151="Не оплачено"),F151,"")</f>
      </c>
      <c r="N151" s="13">
        <f>IF(AND(G151="Терминал",H151="Оплачено"),F151,"")</f>
      </c>
      <c r="O151" s="14">
        <f>IF(AND(G151="Терминал",H151="Не оплачено"),F151,"")</f>
      </c>
      <c r="P151" s="13">
        <f>IF(AND(G151="Перечисление",H151="Оплачено"),F151,"")</f>
      </c>
      <c r="Q151" s="14">
        <f>IF(AND(G151="Перечисление",H151="Не оплачено"),F151,"")</f>
      </c>
    </row>
    <row r="152">
      <c r="A152" s="9">
        <v>149</v>
      </c>
      <c r="B152" s="7"/>
      <c r="C152" s="6"/>
      <c r="D152" s="8"/>
      <c r="E152" s="8"/>
      <c r="F152" s="4"/>
      <c r="G152" s="8"/>
      <c r="H152" s="8"/>
      <c r="I152" s="8"/>
      <c r="J152" s="13">
        <f>IF(AND(G152="Карта",H152="Оплачено"),F152,"")</f>
      </c>
      <c r="K152" s="14">
        <f>IF(AND(G152="Карта",H152="Не оплачено"),F152,"")</f>
      </c>
      <c r="L152" s="13">
        <f>IF(AND(G152="Наличные",H152="Оплачено"),F152,"")</f>
      </c>
      <c r="M152" s="14">
        <f>IF(AND(G152="Наличные",H152="Не оплачено"),F152,"")</f>
      </c>
      <c r="N152" s="13">
        <f>IF(AND(G152="Терминал",H152="Оплачено"),F152,"")</f>
      </c>
      <c r="O152" s="14">
        <f>IF(AND(G152="Терминал",H152="Не оплачено"),F152,"")</f>
      </c>
      <c r="P152" s="13">
        <f>IF(AND(G152="Перечисление",H152="Оплачено"),F152,"")</f>
      </c>
      <c r="Q152" s="14">
        <f>IF(AND(G152="Перечисление",H152="Не оплачено"),F152,"")</f>
      </c>
    </row>
    <row r="153">
      <c r="A153" s="9">
        <v>150</v>
      </c>
      <c r="B153" s="7"/>
      <c r="C153" s="6"/>
      <c r="D153" s="8"/>
      <c r="E153" s="8"/>
      <c r="F153" s="4"/>
      <c r="G153" s="8"/>
      <c r="H153" s="8"/>
      <c r="I153" s="8"/>
      <c r="J153" s="13">
        <f>IF(AND(G153="Карта",H153="Оплачено"),F153,"")</f>
      </c>
      <c r="K153" s="14">
        <f>IF(AND(G153="Карта",H153="Не оплачено"),F153,"")</f>
      </c>
      <c r="L153" s="13">
        <f>IF(AND(G153="Наличные",H153="Оплачено"),F153,"")</f>
      </c>
      <c r="M153" s="14">
        <f>IF(AND(G153="Наличные",H153="Не оплачено"),F153,"")</f>
      </c>
      <c r="N153" s="13">
        <f>IF(AND(G153="Терминал",H153="Оплачено"),F153,"")</f>
      </c>
      <c r="O153" s="14">
        <f>IF(AND(G153="Терминал",H153="Не оплачено"),F153,"")</f>
      </c>
      <c r="P153" s="13">
        <f>IF(AND(G153="Перечисление",H153="Оплачено"),F153,"")</f>
      </c>
      <c r="Q153" s="14">
        <f>IF(AND(G153="Перечисление",H153="Не оплачено"),F153,"")</f>
      </c>
    </row>
    <row r="154">
      <c r="A154" s="9">
        <v>151</v>
      </c>
      <c r="B154" s="7"/>
      <c r="C154" s="6"/>
      <c r="D154" s="8"/>
      <c r="E154" s="8"/>
      <c r="F154" s="4"/>
      <c r="G154" s="8"/>
      <c r="H154" s="8"/>
      <c r="I154" s="8"/>
      <c r="J154" s="13">
        <f>IF(AND(G154="Карта",H154="Оплачено"),F154,"")</f>
      </c>
      <c r="K154" s="14">
        <f>IF(AND(G154="Карта",H154="Не оплачено"),F154,"")</f>
      </c>
      <c r="L154" s="13">
        <f>IF(AND(G154="Наличные",H154="Оплачено"),F154,"")</f>
      </c>
      <c r="M154" s="14">
        <f>IF(AND(G154="Наличные",H154="Не оплачено"),F154,"")</f>
      </c>
      <c r="N154" s="13">
        <f>IF(AND(G154="Терминал",H154="Оплачено"),F154,"")</f>
      </c>
      <c r="O154" s="14">
        <f>IF(AND(G154="Терминал",H154="Не оплачено"),F154,"")</f>
      </c>
      <c r="P154" s="13">
        <f>IF(AND(G154="Перечисление",H154="Оплачено"),F154,"")</f>
      </c>
      <c r="Q154" s="14">
        <f>IF(AND(G154="Перечисление",H154="Не оплачено"),F154,"")</f>
      </c>
    </row>
    <row r="155">
      <c r="A155" s="9">
        <v>152</v>
      </c>
      <c r="B155" s="7"/>
      <c r="C155" s="6"/>
      <c r="D155" s="8"/>
      <c r="E155" s="8"/>
      <c r="F155" s="4"/>
      <c r="G155" s="8"/>
      <c r="H155" s="8"/>
      <c r="I155" s="8"/>
      <c r="J155" s="13">
        <f>IF(AND(G155="Карта",H155="Оплачено"),F155,"")</f>
      </c>
      <c r="K155" s="14">
        <f>IF(AND(G155="Карта",H155="Не оплачено"),F155,"")</f>
      </c>
      <c r="L155" s="13">
        <f>IF(AND(G155="Наличные",H155="Оплачено"),F155,"")</f>
      </c>
      <c r="M155" s="14">
        <f>IF(AND(G155="Наличные",H155="Не оплачено"),F155,"")</f>
      </c>
      <c r="N155" s="13">
        <f>IF(AND(G155="Терминал",H155="Оплачено"),F155,"")</f>
      </c>
      <c r="O155" s="14">
        <f>IF(AND(G155="Терминал",H155="Не оплачено"),F155,"")</f>
      </c>
      <c r="P155" s="13">
        <f>IF(AND(G155="Перечисление",H155="Оплачено"),F155,"")</f>
      </c>
      <c r="Q155" s="14">
        <f>IF(AND(G155="Перечисление",H155="Не оплачено"),F155,"")</f>
      </c>
    </row>
    <row r="156">
      <c r="A156" s="9">
        <v>153</v>
      </c>
      <c r="B156" s="7"/>
      <c r="C156" s="6"/>
      <c r="D156" s="8"/>
      <c r="E156" s="8"/>
      <c r="F156" s="4"/>
      <c r="G156" s="8"/>
      <c r="H156" s="8"/>
      <c r="I156" s="8"/>
      <c r="J156" s="13">
        <f>IF(AND(G156="Карта",H156="Оплачено"),F156,"")</f>
      </c>
      <c r="K156" s="14">
        <f>IF(AND(G156="Карта",H156="Не оплачено"),F156,"")</f>
      </c>
      <c r="L156" s="13">
        <f>IF(AND(G156="Наличные",H156="Оплачено"),F156,"")</f>
      </c>
      <c r="M156" s="14">
        <f>IF(AND(G156="Наличные",H156="Не оплачено"),F156,"")</f>
      </c>
      <c r="N156" s="13">
        <f>IF(AND(G156="Терминал",H156="Оплачено"),F156,"")</f>
      </c>
      <c r="O156" s="14">
        <f>IF(AND(G156="Терминал",H156="Не оплачено"),F156,"")</f>
      </c>
      <c r="P156" s="13">
        <f>IF(AND(G156="Перечисление",H156="Оплачено"),F156,"")</f>
      </c>
      <c r="Q156" s="14">
        <f>IF(AND(G156="Перечисление",H156="Не оплачено"),F156,"")</f>
      </c>
    </row>
    <row r="157">
      <c r="A157" s="9">
        <v>154</v>
      </c>
      <c r="B157" s="7"/>
      <c r="C157" s="6"/>
      <c r="D157" s="8"/>
      <c r="E157" s="8"/>
      <c r="F157" s="4"/>
      <c r="G157" s="8"/>
      <c r="H157" s="8"/>
      <c r="I157" s="8"/>
      <c r="J157" s="13">
        <f>IF(AND(G157="Карта",H157="Оплачено"),F157,"")</f>
      </c>
      <c r="K157" s="14">
        <f>IF(AND(G157="Карта",H157="Не оплачено"),F157,"")</f>
      </c>
      <c r="L157" s="13">
        <f>IF(AND(G157="Наличные",H157="Оплачено"),F157,"")</f>
      </c>
      <c r="M157" s="14">
        <f>IF(AND(G157="Наличные",H157="Не оплачено"),F157,"")</f>
      </c>
      <c r="N157" s="13">
        <f>IF(AND(G157="Терминал",H157="Оплачено"),F157,"")</f>
      </c>
      <c r="O157" s="14">
        <f>IF(AND(G157="Терминал",H157="Не оплачено"),F157,"")</f>
      </c>
      <c r="P157" s="13">
        <f>IF(AND(G157="Перечисление",H157="Оплачено"),F157,"")</f>
      </c>
      <c r="Q157" s="14">
        <f>IF(AND(G157="Перечисление",H157="Не оплачено"),F157,"")</f>
      </c>
    </row>
    <row r="158">
      <c r="A158" s="9">
        <v>155</v>
      </c>
      <c r="B158" s="7"/>
      <c r="C158" s="6"/>
      <c r="D158" s="8"/>
      <c r="E158" s="8"/>
      <c r="F158" s="4"/>
      <c r="G158" s="8"/>
      <c r="H158" s="8"/>
      <c r="I158" s="8"/>
      <c r="J158" s="13">
        <f>IF(AND(G158="Карта",H158="Оплачено"),F158,"")</f>
      </c>
      <c r="K158" s="14">
        <f>IF(AND(G158="Карта",H158="Не оплачено"),F158,"")</f>
      </c>
      <c r="L158" s="13">
        <f>IF(AND(G158="Наличные",H158="Оплачено"),F158,"")</f>
      </c>
      <c r="M158" s="14">
        <f>IF(AND(G158="Наличные",H158="Не оплачено"),F158,"")</f>
      </c>
      <c r="N158" s="13">
        <f>IF(AND(G158="Терминал",H158="Оплачено"),F158,"")</f>
      </c>
      <c r="O158" s="14">
        <f>IF(AND(G158="Терминал",H158="Не оплачено"),F158,"")</f>
      </c>
      <c r="P158" s="13">
        <f>IF(AND(G158="Перечисление",H158="Оплачено"),F158,"")</f>
      </c>
      <c r="Q158" s="14">
        <f>IF(AND(G158="Перечисление",H158="Не оплачено"),F158,"")</f>
      </c>
    </row>
    <row r="159">
      <c r="A159" s="9">
        <v>156</v>
      </c>
      <c r="B159" s="7"/>
      <c r="C159" s="6"/>
      <c r="D159" s="8"/>
      <c r="E159" s="8"/>
      <c r="F159" s="4"/>
      <c r="G159" s="8"/>
      <c r="H159" s="8"/>
      <c r="I159" s="8"/>
      <c r="J159" s="13">
        <f>IF(AND(G159="Карта",H159="Оплачено"),F159,"")</f>
      </c>
      <c r="K159" s="14">
        <f>IF(AND(G159="Карта",H159="Не оплачено"),F159,"")</f>
      </c>
      <c r="L159" s="13">
        <f>IF(AND(G159="Наличные",H159="Оплачено"),F159,"")</f>
      </c>
      <c r="M159" s="14">
        <f>IF(AND(G159="Наличные",H159="Не оплачено"),F159,"")</f>
      </c>
      <c r="N159" s="13">
        <f>IF(AND(G159="Терминал",H159="Оплачено"),F159,"")</f>
      </c>
      <c r="O159" s="14">
        <f>IF(AND(G159="Терминал",H159="Не оплачено"),F159,"")</f>
      </c>
      <c r="P159" s="13">
        <f>IF(AND(G159="Перечисление",H159="Оплачено"),F159,"")</f>
      </c>
      <c r="Q159" s="14">
        <f>IF(AND(G159="Перечисление",H159="Не оплачено"),F159,"")</f>
      </c>
    </row>
    <row r="160">
      <c r="A160" s="9">
        <v>157</v>
      </c>
      <c r="B160" s="7"/>
      <c r="C160" s="6"/>
      <c r="D160" s="8"/>
      <c r="E160" s="8"/>
      <c r="F160" s="4"/>
      <c r="G160" s="8"/>
      <c r="H160" s="8"/>
      <c r="I160" s="8"/>
      <c r="J160" s="13">
        <f>IF(AND(G160="Карта",H160="Оплачено"),F160,"")</f>
      </c>
      <c r="K160" s="14">
        <f>IF(AND(G160="Карта",H160="Не оплачено"),F160,"")</f>
      </c>
      <c r="L160" s="13">
        <f>IF(AND(G160="Наличные",H160="Оплачено"),F160,"")</f>
      </c>
      <c r="M160" s="14">
        <f>IF(AND(G160="Наличные",H160="Не оплачено"),F160,"")</f>
      </c>
      <c r="N160" s="13">
        <f>IF(AND(G160="Терминал",H160="Оплачено"),F160,"")</f>
      </c>
      <c r="O160" s="14">
        <f>IF(AND(G160="Терминал",H160="Не оплачено"),F160,"")</f>
      </c>
      <c r="P160" s="13">
        <f>IF(AND(G160="Перечисление",H160="Оплачено"),F160,"")</f>
      </c>
      <c r="Q160" s="14">
        <f>IF(AND(G160="Перечисление",H160="Не оплачено"),F160,"")</f>
      </c>
    </row>
    <row r="161">
      <c r="A161" s="9">
        <v>158</v>
      </c>
      <c r="B161" s="7"/>
      <c r="C161" s="6"/>
      <c r="D161" s="8"/>
      <c r="E161" s="8"/>
      <c r="F161" s="4"/>
      <c r="G161" s="8"/>
      <c r="H161" s="8"/>
      <c r="I161" s="8"/>
      <c r="J161" s="13">
        <f>IF(AND(G161="Карта",H161="Оплачено"),F161,"")</f>
      </c>
      <c r="K161" s="14">
        <f>IF(AND(G161="Карта",H161="Не оплачено"),F161,"")</f>
      </c>
      <c r="L161" s="13">
        <f>IF(AND(G161="Наличные",H161="Оплачено"),F161,"")</f>
      </c>
      <c r="M161" s="14">
        <f>IF(AND(G161="Наличные",H161="Не оплачено"),F161,"")</f>
      </c>
      <c r="N161" s="13">
        <f>IF(AND(G161="Терминал",H161="Оплачено"),F161,"")</f>
      </c>
      <c r="O161" s="14">
        <f>IF(AND(G161="Терминал",H161="Не оплачено"),F161,"")</f>
      </c>
      <c r="P161" s="13">
        <f>IF(AND(G161="Перечисление",H161="Оплачено"),F161,"")</f>
      </c>
      <c r="Q161" s="14">
        <f>IF(AND(G161="Перечисление",H161="Не оплачено"),F161,"")</f>
      </c>
    </row>
    <row r="162">
      <c r="A162" s="9">
        <v>159</v>
      </c>
      <c r="B162" s="7"/>
      <c r="C162" s="6"/>
      <c r="D162" s="8"/>
      <c r="E162" s="8"/>
      <c r="F162" s="4"/>
      <c r="G162" s="8"/>
      <c r="H162" s="8"/>
      <c r="I162" s="8"/>
      <c r="J162" s="13">
        <f>IF(AND(G162="Карта",H162="Оплачено"),F162,"")</f>
      </c>
      <c r="K162" s="14">
        <f>IF(AND(G162="Карта",H162="Не оплачено"),F162,"")</f>
      </c>
      <c r="L162" s="13">
        <f>IF(AND(G162="Наличные",H162="Оплачено"),F162,"")</f>
      </c>
      <c r="M162" s="14">
        <f>IF(AND(G162="Наличные",H162="Не оплачено"),F162,"")</f>
      </c>
      <c r="N162" s="13">
        <f>IF(AND(G162="Терминал",H162="Оплачено"),F162,"")</f>
      </c>
      <c r="O162" s="14">
        <f>IF(AND(G162="Терминал",H162="Не оплачено"),F162,"")</f>
      </c>
      <c r="P162" s="13">
        <f>IF(AND(G162="Перечисление",H162="Оплачено"),F162,"")</f>
      </c>
      <c r="Q162" s="14">
        <f>IF(AND(G162="Перечисление",H162="Не оплачено"),F162,"")</f>
      </c>
    </row>
    <row r="163">
      <c r="A163" s="9">
        <v>160</v>
      </c>
      <c r="B163" s="7"/>
      <c r="C163" s="6"/>
      <c r="D163" s="8"/>
      <c r="E163" s="8"/>
      <c r="F163" s="4"/>
      <c r="G163" s="8"/>
      <c r="H163" s="8"/>
      <c r="I163" s="8"/>
      <c r="J163" s="13">
        <f>IF(AND(G163="Карта",H163="Оплачено"),F163,"")</f>
      </c>
      <c r="K163" s="14">
        <f>IF(AND(G163="Карта",H163="Не оплачено"),F163,"")</f>
      </c>
      <c r="L163" s="13">
        <f>IF(AND(G163="Наличные",H163="Оплачено"),F163,"")</f>
      </c>
      <c r="M163" s="14">
        <f>IF(AND(G163="Наличные",H163="Не оплачено"),F163,"")</f>
      </c>
      <c r="N163" s="13">
        <f>IF(AND(G163="Терминал",H163="Оплачено"),F163,"")</f>
      </c>
      <c r="O163" s="14">
        <f>IF(AND(G163="Терминал",H163="Не оплачено"),F163,"")</f>
      </c>
      <c r="P163" s="13">
        <f>IF(AND(G163="Перечисление",H163="Оплачено"),F163,"")</f>
      </c>
      <c r="Q163" s="14">
        <f>IF(AND(G163="Перечисление",H163="Не оплачено"),F163,"")</f>
      </c>
    </row>
    <row r="164">
      <c r="A164" s="9">
        <v>161</v>
      </c>
      <c r="B164" s="7"/>
      <c r="C164" s="6"/>
      <c r="D164" s="8"/>
      <c r="E164" s="8"/>
      <c r="F164" s="4"/>
      <c r="G164" s="8"/>
      <c r="H164" s="8"/>
      <c r="I164" s="8"/>
      <c r="J164" s="13">
        <f>IF(AND(G164="Карта",H164="Оплачено"),F164,"")</f>
      </c>
      <c r="K164" s="14">
        <f>IF(AND(G164="Карта",H164="Не оплачено"),F164,"")</f>
      </c>
      <c r="L164" s="13">
        <f>IF(AND(G164="Наличные",H164="Оплачено"),F164,"")</f>
      </c>
      <c r="M164" s="14">
        <f>IF(AND(G164="Наличные",H164="Не оплачено"),F164,"")</f>
      </c>
      <c r="N164" s="13">
        <f>IF(AND(G164="Терминал",H164="Оплачено"),F164,"")</f>
      </c>
      <c r="O164" s="14">
        <f>IF(AND(G164="Терминал",H164="Не оплачено"),F164,"")</f>
      </c>
      <c r="P164" s="13">
        <f>IF(AND(G164="Перечисление",H164="Оплачено"),F164,"")</f>
      </c>
      <c r="Q164" s="14">
        <f>IF(AND(G164="Перечисление",H164="Не оплачено"),F164,"")</f>
      </c>
    </row>
    <row r="165">
      <c r="A165" s="9">
        <v>162</v>
      </c>
      <c r="B165" s="7"/>
      <c r="C165" s="6"/>
      <c r="D165" s="8"/>
      <c r="E165" s="8"/>
      <c r="F165" s="4"/>
      <c r="G165" s="8"/>
      <c r="H165" s="8"/>
      <c r="I165" s="8"/>
      <c r="J165" s="13">
        <f>IF(AND(G165="Карта",H165="Оплачено"),F165,"")</f>
      </c>
      <c r="K165" s="14">
        <f>IF(AND(G165="Карта",H165="Не оплачено"),F165,"")</f>
      </c>
      <c r="L165" s="13">
        <f>IF(AND(G165="Наличные",H165="Оплачено"),F165,"")</f>
      </c>
      <c r="M165" s="14">
        <f>IF(AND(G165="Наличные",H165="Не оплачено"),F165,"")</f>
      </c>
      <c r="N165" s="13">
        <f>IF(AND(G165="Терминал",H165="Оплачено"),F165,"")</f>
      </c>
      <c r="O165" s="14">
        <f>IF(AND(G165="Терминал",H165="Не оплачено"),F165,"")</f>
      </c>
      <c r="P165" s="13">
        <f>IF(AND(G165="Перечисление",H165="Оплачено"),F165,"")</f>
      </c>
      <c r="Q165" s="14">
        <f>IF(AND(G165="Перечисление",H165="Не оплачено"),F165,"")</f>
      </c>
    </row>
    <row r="166">
      <c r="A166" s="9">
        <v>163</v>
      </c>
      <c r="B166" s="7"/>
      <c r="C166" s="6"/>
      <c r="D166" s="8"/>
      <c r="E166" s="8"/>
      <c r="F166" s="4"/>
      <c r="G166" s="8"/>
      <c r="H166" s="8"/>
      <c r="I166" s="8"/>
      <c r="J166" s="13">
        <f>IF(AND(G166="Карта",H166="Оплачено"),F166,"")</f>
      </c>
      <c r="K166" s="14">
        <f>IF(AND(G166="Карта",H166="Не оплачено"),F166,"")</f>
      </c>
      <c r="L166" s="13">
        <f>IF(AND(G166="Наличные",H166="Оплачено"),F166,"")</f>
      </c>
      <c r="M166" s="14">
        <f>IF(AND(G166="Наличные",H166="Не оплачено"),F166,"")</f>
      </c>
      <c r="N166" s="13">
        <f>IF(AND(G166="Терминал",H166="Оплачено"),F166,"")</f>
      </c>
      <c r="O166" s="14">
        <f>IF(AND(G166="Терминал",H166="Не оплачено"),F166,"")</f>
      </c>
      <c r="P166" s="13">
        <f>IF(AND(G166="Перечисление",H166="Оплачено"),F166,"")</f>
      </c>
      <c r="Q166" s="14">
        <f>IF(AND(G166="Перечисление",H166="Не оплачено"),F166,"")</f>
      </c>
    </row>
    <row r="167">
      <c r="A167" s="9">
        <v>164</v>
      </c>
      <c r="B167" s="7"/>
      <c r="C167" s="6"/>
      <c r="D167" s="8"/>
      <c r="E167" s="8"/>
      <c r="F167" s="4"/>
      <c r="G167" s="8"/>
      <c r="H167" s="8"/>
      <c r="I167" s="8"/>
      <c r="J167" s="13">
        <f>IF(AND(G167="Карта",H167="Оплачено"),F167,"")</f>
      </c>
      <c r="K167" s="14">
        <f>IF(AND(G167="Карта",H167="Не оплачено"),F167,"")</f>
      </c>
      <c r="L167" s="13">
        <f>IF(AND(G167="Наличные",H167="Оплачено"),F167,"")</f>
      </c>
      <c r="M167" s="14">
        <f>IF(AND(G167="Наличные",H167="Не оплачено"),F167,"")</f>
      </c>
      <c r="N167" s="13">
        <f>IF(AND(G167="Терминал",H167="Оплачено"),F167,"")</f>
      </c>
      <c r="O167" s="14">
        <f>IF(AND(G167="Терминал",H167="Не оплачено"),F167,"")</f>
      </c>
      <c r="P167" s="13">
        <f>IF(AND(G167="Перечисление",H167="Оплачено"),F167,"")</f>
      </c>
      <c r="Q167" s="14">
        <f>IF(AND(G167="Перечисление",H167="Не оплачено"),F167,"")</f>
      </c>
    </row>
    <row r="168">
      <c r="A168" s="9">
        <v>165</v>
      </c>
      <c r="B168" s="7"/>
      <c r="C168" s="6"/>
      <c r="D168" s="8"/>
      <c r="E168" s="8"/>
      <c r="F168" s="4"/>
      <c r="G168" s="8"/>
      <c r="H168" s="8"/>
      <c r="I168" s="8"/>
      <c r="J168" s="13">
        <f>IF(AND(G168="Карта",H168="Оплачено"),F168,"")</f>
      </c>
      <c r="K168" s="14">
        <f>IF(AND(G168="Карта",H168="Не оплачено"),F168,"")</f>
      </c>
      <c r="L168" s="13">
        <f>IF(AND(G168="Наличные",H168="Оплачено"),F168,"")</f>
      </c>
      <c r="M168" s="14">
        <f>IF(AND(G168="Наличные",H168="Не оплачено"),F168,"")</f>
      </c>
      <c r="N168" s="13">
        <f>IF(AND(G168="Терминал",H168="Оплачено"),F168,"")</f>
      </c>
      <c r="O168" s="14">
        <f>IF(AND(G168="Терминал",H168="Не оплачено"),F168,"")</f>
      </c>
      <c r="P168" s="13">
        <f>IF(AND(G168="Перечисление",H168="Оплачено"),F168,"")</f>
      </c>
      <c r="Q168" s="14">
        <f>IF(AND(G168="Перечисление",H168="Не оплачено"),F168,"")</f>
      </c>
    </row>
    <row r="169">
      <c r="A169" s="9">
        <v>166</v>
      </c>
      <c r="B169" s="7"/>
      <c r="C169" s="6"/>
      <c r="D169" s="8"/>
      <c r="E169" s="8"/>
      <c r="F169" s="4"/>
      <c r="G169" s="8"/>
      <c r="H169" s="8"/>
      <c r="I169" s="8"/>
      <c r="J169" s="13">
        <f>IF(AND(G169="Карта",H169="Оплачено"),F169,"")</f>
      </c>
      <c r="K169" s="14">
        <f>IF(AND(G169="Карта",H169="Не оплачено"),F169,"")</f>
      </c>
      <c r="L169" s="13">
        <f>IF(AND(G169="Наличные",H169="Оплачено"),F169,"")</f>
      </c>
      <c r="M169" s="14">
        <f>IF(AND(G169="Наличные",H169="Не оплачено"),F169,"")</f>
      </c>
      <c r="N169" s="13">
        <f>IF(AND(G169="Терминал",H169="Оплачено"),F169,"")</f>
      </c>
      <c r="O169" s="14">
        <f>IF(AND(G169="Терминал",H169="Не оплачено"),F169,"")</f>
      </c>
      <c r="P169" s="13">
        <f>IF(AND(G169="Перечисление",H169="Оплачено"),F169,"")</f>
      </c>
      <c r="Q169" s="14">
        <f>IF(AND(G169="Перечисление",H169="Не оплачено"),F169,"")</f>
      </c>
    </row>
    <row r="170">
      <c r="A170" s="9">
        <v>167</v>
      </c>
      <c r="B170" s="7"/>
      <c r="C170" s="6"/>
      <c r="D170" s="8"/>
      <c r="E170" s="8"/>
      <c r="F170" s="4"/>
      <c r="G170" s="8"/>
      <c r="H170" s="8"/>
      <c r="I170" s="8"/>
      <c r="J170" s="13">
        <f>IF(AND(G170="Карта",H170="Оплачено"),F170,"")</f>
      </c>
      <c r="K170" s="14">
        <f>IF(AND(G170="Карта",H170="Не оплачено"),F170,"")</f>
      </c>
      <c r="L170" s="13">
        <f>IF(AND(G170="Наличные",H170="Оплачено"),F170,"")</f>
      </c>
      <c r="M170" s="14">
        <f>IF(AND(G170="Наличные",H170="Не оплачено"),F170,"")</f>
      </c>
      <c r="N170" s="13">
        <f>IF(AND(G170="Терминал",H170="Оплачено"),F170,"")</f>
      </c>
      <c r="O170" s="14">
        <f>IF(AND(G170="Терминал",H170="Не оплачено"),F170,"")</f>
      </c>
      <c r="P170" s="13">
        <f>IF(AND(G170="Перечисление",H170="Оплачено"),F170,"")</f>
      </c>
      <c r="Q170" s="14">
        <f>IF(AND(G170="Перечисление",H170="Не оплачено"),F170,"")</f>
      </c>
    </row>
    <row r="171">
      <c r="A171" s="9">
        <v>168</v>
      </c>
      <c r="B171" s="7"/>
      <c r="C171" s="6"/>
      <c r="D171" s="8"/>
      <c r="E171" s="8"/>
      <c r="F171" s="4"/>
      <c r="G171" s="8"/>
      <c r="H171" s="8"/>
      <c r="I171" s="8"/>
      <c r="J171" s="13">
        <f>IF(AND(G171="Карта",H171="Оплачено"),F171,"")</f>
      </c>
      <c r="K171" s="14">
        <f>IF(AND(G171="Карта",H171="Не оплачено"),F171,"")</f>
      </c>
      <c r="L171" s="13">
        <f>IF(AND(G171="Наличные",H171="Оплачено"),F171,"")</f>
      </c>
      <c r="M171" s="14">
        <f>IF(AND(G171="Наличные",H171="Не оплачено"),F171,"")</f>
      </c>
      <c r="N171" s="13">
        <f>IF(AND(G171="Терминал",H171="Оплачено"),F171,"")</f>
      </c>
      <c r="O171" s="14">
        <f>IF(AND(G171="Терминал",H171="Не оплачено"),F171,"")</f>
      </c>
      <c r="P171" s="13">
        <f>IF(AND(G171="Перечисление",H171="Оплачено"),F171,"")</f>
      </c>
      <c r="Q171" s="14">
        <f>IF(AND(G171="Перечисление",H171="Не оплачено"),F171,"")</f>
      </c>
    </row>
    <row r="172">
      <c r="A172" s="9">
        <v>169</v>
      </c>
      <c r="B172" s="7"/>
      <c r="C172" s="6"/>
      <c r="D172" s="8"/>
      <c r="E172" s="8"/>
      <c r="F172" s="4"/>
      <c r="G172" s="8"/>
      <c r="H172" s="8"/>
      <c r="I172" s="8"/>
      <c r="J172" s="13">
        <f>IF(AND(G172="Карта",H172="Оплачено"),F172,"")</f>
      </c>
      <c r="K172" s="14">
        <f>IF(AND(G172="Карта",H172="Не оплачено"),F172,"")</f>
      </c>
      <c r="L172" s="13">
        <f>IF(AND(G172="Наличные",H172="Оплачено"),F172,"")</f>
      </c>
      <c r="M172" s="14">
        <f>IF(AND(G172="Наличные",H172="Не оплачено"),F172,"")</f>
      </c>
      <c r="N172" s="13">
        <f>IF(AND(G172="Терминал",H172="Оплачено"),F172,"")</f>
      </c>
      <c r="O172" s="14">
        <f>IF(AND(G172="Терминал",H172="Не оплачено"),F172,"")</f>
      </c>
      <c r="P172" s="13">
        <f>IF(AND(G172="Перечисление",H172="Оплачено"),F172,"")</f>
      </c>
      <c r="Q172" s="14">
        <f>IF(AND(G172="Перечисление",H172="Не оплачено"),F172,"")</f>
      </c>
    </row>
    <row r="173">
      <c r="A173" s="9">
        <v>170</v>
      </c>
      <c r="B173" s="7"/>
      <c r="C173" s="6"/>
      <c r="D173" s="8"/>
      <c r="E173" s="8"/>
      <c r="F173" s="4"/>
      <c r="G173" s="8"/>
      <c r="H173" s="8"/>
      <c r="I173" s="8"/>
      <c r="J173" s="13">
        <f>IF(AND(G173="Карта",H173="Оплачено"),F173,"")</f>
      </c>
      <c r="K173" s="14">
        <f>IF(AND(G173="Карта",H173="Не оплачено"),F173,"")</f>
      </c>
      <c r="L173" s="13">
        <f>IF(AND(G173="Наличные",H173="Оплачено"),F173,"")</f>
      </c>
      <c r="M173" s="14">
        <f>IF(AND(G173="Наличные",H173="Не оплачено"),F173,"")</f>
      </c>
      <c r="N173" s="13">
        <f>IF(AND(G173="Терминал",H173="Оплачено"),F173,"")</f>
      </c>
      <c r="O173" s="14">
        <f>IF(AND(G173="Терминал",H173="Не оплачено"),F173,"")</f>
      </c>
      <c r="P173" s="13">
        <f>IF(AND(G173="Перечисление",H173="Оплачено"),F173,"")</f>
      </c>
      <c r="Q173" s="14">
        <f>IF(AND(G173="Перечисление",H173="Не оплачено"),F173,"")</f>
      </c>
    </row>
    <row r="174">
      <c r="A174" s="9">
        <v>171</v>
      </c>
      <c r="B174" s="7"/>
      <c r="C174" s="6"/>
      <c r="D174" s="8"/>
      <c r="E174" s="8"/>
      <c r="F174" s="4"/>
      <c r="G174" s="8"/>
      <c r="H174" s="8"/>
      <c r="I174" s="8"/>
      <c r="J174" s="13">
        <f>IF(AND(G174="Карта",H174="Оплачено"),F174,"")</f>
      </c>
      <c r="K174" s="14">
        <f>IF(AND(G174="Карта",H174="Не оплачено"),F174,"")</f>
      </c>
      <c r="L174" s="13">
        <f>IF(AND(G174="Наличные",H174="Оплачено"),F174,"")</f>
      </c>
      <c r="M174" s="14">
        <f>IF(AND(G174="Наличные",H174="Не оплачено"),F174,"")</f>
      </c>
      <c r="N174" s="13">
        <f>IF(AND(G174="Терминал",H174="Оплачено"),F174,"")</f>
      </c>
      <c r="O174" s="14">
        <f>IF(AND(G174="Терминал",H174="Не оплачено"),F174,"")</f>
      </c>
      <c r="P174" s="13">
        <f>IF(AND(G174="Перечисление",H174="Оплачено"),F174,"")</f>
      </c>
      <c r="Q174" s="14">
        <f>IF(AND(G174="Перечисление",H174="Не оплачено"),F174,"")</f>
      </c>
    </row>
    <row r="175">
      <c r="A175" s="9">
        <v>172</v>
      </c>
      <c r="B175" s="7"/>
      <c r="C175" s="6"/>
      <c r="D175" s="8"/>
      <c r="E175" s="8"/>
      <c r="F175" s="4"/>
      <c r="G175" s="8"/>
      <c r="H175" s="8"/>
      <c r="I175" s="8"/>
      <c r="J175" s="13">
        <f>IF(AND(G175="Карта",H175="Оплачено"),F175,"")</f>
      </c>
      <c r="K175" s="14">
        <f>IF(AND(G175="Карта",H175="Не оплачено"),F175,"")</f>
      </c>
      <c r="L175" s="13">
        <f>IF(AND(G175="Наличные",H175="Оплачено"),F175,"")</f>
      </c>
      <c r="M175" s="14">
        <f>IF(AND(G175="Наличные",H175="Не оплачено"),F175,"")</f>
      </c>
      <c r="N175" s="13">
        <f>IF(AND(G175="Терминал",H175="Оплачено"),F175,"")</f>
      </c>
      <c r="O175" s="14">
        <f>IF(AND(G175="Терминал",H175="Не оплачено"),F175,"")</f>
      </c>
      <c r="P175" s="13">
        <f>IF(AND(G175="Перечисление",H175="Оплачено"),F175,"")</f>
      </c>
      <c r="Q175" s="14">
        <f>IF(AND(G175="Перечисление",H175="Не оплачено"),F175,"")</f>
      </c>
    </row>
    <row r="176">
      <c r="A176" s="9">
        <v>173</v>
      </c>
      <c r="B176" s="7"/>
      <c r="C176" s="6"/>
      <c r="D176" s="8"/>
      <c r="E176" s="8"/>
      <c r="F176" s="4"/>
      <c r="G176" s="8"/>
      <c r="H176" s="8"/>
      <c r="I176" s="8"/>
      <c r="J176" s="13">
        <f>IF(AND(G176="Карта",H176="Оплачено"),F176,"")</f>
      </c>
      <c r="K176" s="14">
        <f>IF(AND(G176="Карта",H176="Не оплачено"),F176,"")</f>
      </c>
      <c r="L176" s="13">
        <f>IF(AND(G176="Наличные",H176="Оплачено"),F176,"")</f>
      </c>
      <c r="M176" s="14">
        <f>IF(AND(G176="Наличные",H176="Не оплачено"),F176,"")</f>
      </c>
      <c r="N176" s="13">
        <f>IF(AND(G176="Терминал",H176="Оплачено"),F176,"")</f>
      </c>
      <c r="O176" s="14">
        <f>IF(AND(G176="Терминал",H176="Не оплачено"),F176,"")</f>
      </c>
      <c r="P176" s="13">
        <f>IF(AND(G176="Перечисление",H176="Оплачено"),F176,"")</f>
      </c>
      <c r="Q176" s="14">
        <f>IF(AND(G176="Перечисление",H176="Не оплачено"),F176,"")</f>
      </c>
    </row>
    <row r="177">
      <c r="A177" s="9">
        <v>174</v>
      </c>
      <c r="B177" s="7"/>
      <c r="C177" s="6"/>
      <c r="D177" s="8"/>
      <c r="E177" s="8"/>
      <c r="F177" s="4"/>
      <c r="G177" s="8"/>
      <c r="H177" s="8"/>
      <c r="I177" s="8"/>
      <c r="J177" s="13">
        <f>IF(AND(G177="Карта",H177="Оплачено"),F177,"")</f>
      </c>
      <c r="K177" s="14">
        <f>IF(AND(G177="Карта",H177="Не оплачено"),F177,"")</f>
      </c>
      <c r="L177" s="13">
        <f>IF(AND(G177="Наличные",H177="Оплачено"),F177,"")</f>
      </c>
      <c r="M177" s="14">
        <f>IF(AND(G177="Наличные",H177="Не оплачено"),F177,"")</f>
      </c>
      <c r="N177" s="13">
        <f>IF(AND(G177="Терминал",H177="Оплачено"),F177,"")</f>
      </c>
      <c r="O177" s="14">
        <f>IF(AND(G177="Терминал",H177="Не оплачено"),F177,"")</f>
      </c>
      <c r="P177" s="13">
        <f>IF(AND(G177="Перечисление",H177="Оплачено"),F177,"")</f>
      </c>
      <c r="Q177" s="14">
        <f>IF(AND(G177="Перечисление",H177="Не оплачено"),F177,"")</f>
      </c>
    </row>
    <row r="178">
      <c r="A178" s="9">
        <v>175</v>
      </c>
      <c r="B178" s="7"/>
      <c r="C178" s="6"/>
      <c r="D178" s="8"/>
      <c r="E178" s="8"/>
      <c r="F178" s="4"/>
      <c r="G178" s="8"/>
      <c r="H178" s="8"/>
      <c r="I178" s="8"/>
      <c r="J178" s="13">
        <f>IF(AND(G178="Карта",H178="Оплачено"),F178,"")</f>
      </c>
      <c r="K178" s="14">
        <f>IF(AND(G178="Карта",H178="Не оплачено"),F178,"")</f>
      </c>
      <c r="L178" s="13">
        <f>IF(AND(G178="Наличные",H178="Оплачено"),F178,"")</f>
      </c>
      <c r="M178" s="14">
        <f>IF(AND(G178="Наличные",H178="Не оплачено"),F178,"")</f>
      </c>
      <c r="N178" s="13">
        <f>IF(AND(G178="Терминал",H178="Оплачено"),F178,"")</f>
      </c>
      <c r="O178" s="14">
        <f>IF(AND(G178="Терминал",H178="Не оплачено"),F178,"")</f>
      </c>
      <c r="P178" s="13">
        <f>IF(AND(G178="Перечисление",H178="Оплачено"),F178,"")</f>
      </c>
      <c r="Q178" s="14">
        <f>IF(AND(G178="Перечисление",H178="Не оплачено"),F178,"")</f>
      </c>
    </row>
    <row r="179">
      <c r="A179" s="9">
        <v>176</v>
      </c>
      <c r="B179" s="7"/>
      <c r="C179" s="6"/>
      <c r="D179" s="8"/>
      <c r="E179" s="8"/>
      <c r="F179" s="4"/>
      <c r="G179" s="8"/>
      <c r="H179" s="8"/>
      <c r="I179" s="8"/>
      <c r="J179" s="13">
        <f>IF(AND(G179="Карта",H179="Оплачено"),F179,"")</f>
      </c>
      <c r="K179" s="14">
        <f>IF(AND(G179="Карта",H179="Не оплачено"),F179,"")</f>
      </c>
      <c r="L179" s="13">
        <f>IF(AND(G179="Наличные",H179="Оплачено"),F179,"")</f>
      </c>
      <c r="M179" s="14">
        <f>IF(AND(G179="Наличные",H179="Не оплачено"),F179,"")</f>
      </c>
      <c r="N179" s="13">
        <f>IF(AND(G179="Терминал",H179="Оплачено"),F179,"")</f>
      </c>
      <c r="O179" s="14">
        <f>IF(AND(G179="Терминал",H179="Не оплачено"),F179,"")</f>
      </c>
      <c r="P179" s="13">
        <f>IF(AND(G179="Перечисление",H179="Оплачено"),F179,"")</f>
      </c>
      <c r="Q179" s="14">
        <f>IF(AND(G179="Перечисление",H179="Не оплачено"),F179,"")</f>
      </c>
    </row>
    <row r="180">
      <c r="A180" s="9">
        <v>177</v>
      </c>
      <c r="B180" s="7"/>
      <c r="C180" s="6"/>
      <c r="D180" s="8"/>
      <c r="E180" s="8"/>
      <c r="F180" s="4"/>
      <c r="G180" s="8"/>
      <c r="H180" s="8"/>
      <c r="I180" s="8"/>
      <c r="J180" s="13">
        <f>IF(AND(G180="Карта",H180="Оплачено"),F180,"")</f>
      </c>
      <c r="K180" s="14">
        <f>IF(AND(G180="Карта",H180="Не оплачено"),F180,"")</f>
      </c>
      <c r="L180" s="13">
        <f>IF(AND(G180="Наличные",H180="Оплачено"),F180,"")</f>
      </c>
      <c r="M180" s="14">
        <f>IF(AND(G180="Наличные",H180="Не оплачено"),F180,"")</f>
      </c>
      <c r="N180" s="13">
        <f>IF(AND(G180="Терминал",H180="Оплачено"),F180,"")</f>
      </c>
      <c r="O180" s="14">
        <f>IF(AND(G180="Терминал",H180="Не оплачено"),F180,"")</f>
      </c>
      <c r="P180" s="13">
        <f>IF(AND(G180="Перечисление",H180="Оплачено"),F180,"")</f>
      </c>
      <c r="Q180" s="14">
        <f>IF(AND(G180="Перечисление",H180="Не оплачено"),F180,"")</f>
      </c>
    </row>
    <row r="181">
      <c r="A181" s="9">
        <v>178</v>
      </c>
      <c r="B181" s="7"/>
      <c r="C181" s="6"/>
      <c r="D181" s="8"/>
      <c r="E181" s="8"/>
      <c r="F181" s="4"/>
      <c r="G181" s="8"/>
      <c r="H181" s="8"/>
      <c r="I181" s="8"/>
      <c r="J181" s="13">
        <f>IF(AND(G181="Карта",H181="Оплачено"),F181,"")</f>
      </c>
      <c r="K181" s="14">
        <f>IF(AND(G181="Карта",H181="Не оплачено"),F181,"")</f>
      </c>
      <c r="L181" s="13">
        <f>IF(AND(G181="Наличные",H181="Оплачено"),F181,"")</f>
      </c>
      <c r="M181" s="14">
        <f>IF(AND(G181="Наличные",H181="Не оплачено"),F181,"")</f>
      </c>
      <c r="N181" s="13">
        <f>IF(AND(G181="Терминал",H181="Оплачено"),F181,"")</f>
      </c>
      <c r="O181" s="14">
        <f>IF(AND(G181="Терминал",H181="Не оплачено"),F181,"")</f>
      </c>
      <c r="P181" s="13">
        <f>IF(AND(G181="Перечисление",H181="Оплачено"),F181,"")</f>
      </c>
      <c r="Q181" s="14">
        <f>IF(AND(G181="Перечисление",H181="Не оплачено"),F181,"")</f>
      </c>
    </row>
    <row r="182">
      <c r="A182" s="9">
        <v>179</v>
      </c>
      <c r="B182" s="7"/>
      <c r="C182" s="6"/>
      <c r="D182" s="8"/>
      <c r="E182" s="8"/>
      <c r="F182" s="4"/>
      <c r="G182" s="8"/>
      <c r="H182" s="8"/>
      <c r="I182" s="8"/>
      <c r="J182" s="13">
        <f>IF(AND(G182="Карта",H182="Оплачено"),F182,"")</f>
      </c>
      <c r="K182" s="14">
        <f>IF(AND(G182="Карта",H182="Не оплачено"),F182,"")</f>
      </c>
      <c r="L182" s="13">
        <f>IF(AND(G182="Наличные",H182="Оплачено"),F182,"")</f>
      </c>
      <c r="M182" s="14">
        <f>IF(AND(G182="Наличные",H182="Не оплачено"),F182,"")</f>
      </c>
      <c r="N182" s="13">
        <f>IF(AND(G182="Терминал",H182="Оплачено"),F182,"")</f>
      </c>
      <c r="O182" s="14">
        <f>IF(AND(G182="Терминал",H182="Не оплачено"),F182,"")</f>
      </c>
      <c r="P182" s="13">
        <f>IF(AND(G182="Перечисление",H182="Оплачено"),F182,"")</f>
      </c>
      <c r="Q182" s="14">
        <f>IF(AND(G182="Перечисление",H182="Не оплачено"),F182,"")</f>
      </c>
    </row>
    <row r="183">
      <c r="A183" s="9">
        <v>180</v>
      </c>
      <c r="B183" s="7"/>
      <c r="C183" s="6"/>
      <c r="D183" s="8"/>
      <c r="E183" s="8"/>
      <c r="F183" s="4"/>
      <c r="G183" s="8"/>
      <c r="H183" s="8"/>
      <c r="I183" s="8"/>
      <c r="J183" s="13">
        <f>IF(AND(G183="Карта",H183="Оплачено"),F183,"")</f>
      </c>
      <c r="K183" s="14">
        <f>IF(AND(G183="Карта",H183="Не оплачено"),F183,"")</f>
      </c>
      <c r="L183" s="13">
        <f>IF(AND(G183="Наличные",H183="Оплачено"),F183,"")</f>
      </c>
      <c r="M183" s="14">
        <f>IF(AND(G183="Наличные",H183="Не оплачено"),F183,"")</f>
      </c>
      <c r="N183" s="13">
        <f>IF(AND(G183="Терминал",H183="Оплачено"),F183,"")</f>
      </c>
      <c r="O183" s="14">
        <f>IF(AND(G183="Терминал",H183="Не оплачено"),F183,"")</f>
      </c>
      <c r="P183" s="13">
        <f>IF(AND(G183="Перечисление",H183="Оплачено"),F183,"")</f>
      </c>
      <c r="Q183" s="14">
        <f>IF(AND(G183="Перечисление",H183="Не оплачено"),F183,"")</f>
      </c>
    </row>
    <row r="184">
      <c r="A184" s="9">
        <v>181</v>
      </c>
      <c r="B184" s="7"/>
      <c r="C184" s="6"/>
      <c r="D184" s="8"/>
      <c r="E184" s="8"/>
      <c r="F184" s="4"/>
      <c r="G184" s="8"/>
      <c r="H184" s="8"/>
      <c r="I184" s="8"/>
      <c r="J184" s="13">
        <f>IF(AND(G184="Карта",H184="Оплачено"),F184,"")</f>
      </c>
      <c r="K184" s="14">
        <f>IF(AND(G184="Карта",H184="Не оплачено"),F184,"")</f>
      </c>
      <c r="L184" s="13">
        <f>IF(AND(G184="Наличные",H184="Оплачено"),F184,"")</f>
      </c>
      <c r="M184" s="14">
        <f>IF(AND(G184="Наличные",H184="Не оплачено"),F184,"")</f>
      </c>
      <c r="N184" s="13">
        <f>IF(AND(G184="Терминал",H184="Оплачено"),F184,"")</f>
      </c>
      <c r="O184" s="14">
        <f>IF(AND(G184="Терминал",H184="Не оплачено"),F184,"")</f>
      </c>
      <c r="P184" s="13">
        <f>IF(AND(G184="Перечисление",H184="Оплачено"),F184,"")</f>
      </c>
      <c r="Q184" s="14">
        <f>IF(AND(G184="Перечисление",H184="Не оплачено"),F184,"")</f>
      </c>
    </row>
    <row r="185">
      <c r="A185" s="9">
        <v>182</v>
      </c>
      <c r="B185" s="7"/>
      <c r="C185" s="6"/>
      <c r="D185" s="8"/>
      <c r="E185" s="8"/>
      <c r="F185" s="4"/>
      <c r="G185" s="8"/>
      <c r="H185" s="8"/>
      <c r="I185" s="8"/>
      <c r="J185" s="13">
        <f>IF(AND(G185="Карта",H185="Оплачено"),F185,"")</f>
      </c>
      <c r="K185" s="14">
        <f>IF(AND(G185="Карта",H185="Не оплачено"),F185,"")</f>
      </c>
      <c r="L185" s="13">
        <f>IF(AND(G185="Наличные",H185="Оплачено"),F185,"")</f>
      </c>
      <c r="M185" s="14">
        <f>IF(AND(G185="Наличные",H185="Не оплачено"),F185,"")</f>
      </c>
      <c r="N185" s="13">
        <f>IF(AND(G185="Терминал",H185="Оплачено"),F185,"")</f>
      </c>
      <c r="O185" s="14">
        <f>IF(AND(G185="Терминал",H185="Не оплачено"),F185,"")</f>
      </c>
      <c r="P185" s="13">
        <f>IF(AND(G185="Перечисление",H185="Оплачено"),F185,"")</f>
      </c>
      <c r="Q185" s="14">
        <f>IF(AND(G185="Перечисление",H185="Не оплачено"),F185,"")</f>
      </c>
    </row>
    <row r="186">
      <c r="A186" s="9">
        <v>183</v>
      </c>
      <c r="B186" s="7"/>
      <c r="C186" s="6"/>
      <c r="D186" s="8"/>
      <c r="E186" s="8"/>
      <c r="F186" s="4"/>
      <c r="G186" s="8"/>
      <c r="H186" s="8"/>
      <c r="I186" s="8"/>
      <c r="J186" s="13">
        <f>IF(AND(G186="Карта",H186="Оплачено"),F186,"")</f>
      </c>
      <c r="K186" s="14">
        <f>IF(AND(G186="Карта",H186="Не оплачено"),F186,"")</f>
      </c>
      <c r="L186" s="13">
        <f>IF(AND(G186="Наличные",H186="Оплачено"),F186,"")</f>
      </c>
      <c r="M186" s="14">
        <f>IF(AND(G186="Наличные",H186="Не оплачено"),F186,"")</f>
      </c>
      <c r="N186" s="13">
        <f>IF(AND(G186="Терминал",H186="Оплачено"),F186,"")</f>
      </c>
      <c r="O186" s="14">
        <f>IF(AND(G186="Терминал",H186="Не оплачено"),F186,"")</f>
      </c>
      <c r="P186" s="13">
        <f>IF(AND(G186="Перечисление",H186="Оплачено"),F186,"")</f>
      </c>
      <c r="Q186" s="14">
        <f>IF(AND(G186="Перечисление",H186="Не оплачено"),F186,"")</f>
      </c>
    </row>
    <row r="187">
      <c r="A187" s="9">
        <v>184</v>
      </c>
      <c r="B187" s="7"/>
      <c r="C187" s="6"/>
      <c r="D187" s="8"/>
      <c r="E187" s="8"/>
      <c r="F187" s="4"/>
      <c r="G187" s="8"/>
      <c r="H187" s="8"/>
      <c r="I187" s="8"/>
      <c r="J187" s="13">
        <f>IF(AND(G187="Карта",H187="Оплачено"),F187,"")</f>
      </c>
      <c r="K187" s="14">
        <f>IF(AND(G187="Карта",H187="Не оплачено"),F187,"")</f>
      </c>
      <c r="L187" s="13">
        <f>IF(AND(G187="Наличные",H187="Оплачено"),F187,"")</f>
      </c>
      <c r="M187" s="14">
        <f>IF(AND(G187="Наличные",H187="Не оплачено"),F187,"")</f>
      </c>
      <c r="N187" s="13">
        <f>IF(AND(G187="Терминал",H187="Оплачено"),F187,"")</f>
      </c>
      <c r="O187" s="14">
        <f>IF(AND(G187="Терминал",H187="Не оплачено"),F187,"")</f>
      </c>
      <c r="P187" s="13">
        <f>IF(AND(G187="Перечисление",H187="Оплачено"),F187,"")</f>
      </c>
      <c r="Q187" s="14">
        <f>IF(AND(G187="Перечисление",H187="Не оплачено"),F187,"")</f>
      </c>
    </row>
    <row r="188">
      <c r="A188" s="9">
        <v>185</v>
      </c>
      <c r="B188" s="7"/>
      <c r="C188" s="6"/>
      <c r="D188" s="8"/>
      <c r="E188" s="8"/>
      <c r="F188" s="4"/>
      <c r="G188" s="8"/>
      <c r="H188" s="8"/>
      <c r="I188" s="8"/>
      <c r="J188" s="13">
        <f>IF(AND(G188="Карта",H188="Оплачено"),F188,"")</f>
      </c>
      <c r="K188" s="14">
        <f>IF(AND(G188="Карта",H188="Не оплачено"),F188,"")</f>
      </c>
      <c r="L188" s="13">
        <f>IF(AND(G188="Наличные",H188="Оплачено"),F188,"")</f>
      </c>
      <c r="M188" s="14">
        <f>IF(AND(G188="Наличные",H188="Не оплачено"),F188,"")</f>
      </c>
      <c r="N188" s="13">
        <f>IF(AND(G188="Терминал",H188="Оплачено"),F188,"")</f>
      </c>
      <c r="O188" s="14">
        <f>IF(AND(G188="Терминал",H188="Не оплачено"),F188,"")</f>
      </c>
      <c r="P188" s="13">
        <f>IF(AND(G188="Перечисление",H188="Оплачено"),F188,"")</f>
      </c>
      <c r="Q188" s="14">
        <f>IF(AND(G188="Перечисление",H188="Не оплачено"),F188,"")</f>
      </c>
    </row>
    <row r="189">
      <c r="A189" s="9">
        <v>186</v>
      </c>
      <c r="B189" s="7"/>
      <c r="C189" s="6"/>
      <c r="D189" s="8"/>
      <c r="E189" s="8"/>
      <c r="F189" s="4"/>
      <c r="G189" s="8"/>
      <c r="H189" s="8"/>
      <c r="I189" s="8"/>
      <c r="J189" s="13">
        <f>IF(AND(G189="Карта",H189="Оплачено"),F189,"")</f>
      </c>
      <c r="K189" s="14">
        <f>IF(AND(G189="Карта",H189="Не оплачено"),F189,"")</f>
      </c>
      <c r="L189" s="13">
        <f>IF(AND(G189="Наличные",H189="Оплачено"),F189,"")</f>
      </c>
      <c r="M189" s="14">
        <f>IF(AND(G189="Наличные",H189="Не оплачено"),F189,"")</f>
      </c>
      <c r="N189" s="13">
        <f>IF(AND(G189="Терминал",H189="Оплачено"),F189,"")</f>
      </c>
      <c r="O189" s="14">
        <f>IF(AND(G189="Терминал",H189="Не оплачено"),F189,"")</f>
      </c>
      <c r="P189" s="13">
        <f>IF(AND(G189="Перечисление",H189="Оплачено"),F189,"")</f>
      </c>
      <c r="Q189" s="14">
        <f>IF(AND(G189="Перечисление",H189="Не оплачено"),F189,"")</f>
      </c>
    </row>
    <row r="190">
      <c r="A190" s="9">
        <v>187</v>
      </c>
      <c r="B190" s="7"/>
      <c r="C190" s="6"/>
      <c r="D190" s="8"/>
      <c r="E190" s="8"/>
      <c r="F190" s="4"/>
      <c r="G190" s="8"/>
      <c r="H190" s="8"/>
      <c r="I190" s="8"/>
      <c r="J190" s="13">
        <f>IF(AND(G190="Карта",H190="Оплачено"),F190,"")</f>
      </c>
      <c r="K190" s="14">
        <f>IF(AND(G190="Карта",H190="Не оплачено"),F190,"")</f>
      </c>
      <c r="L190" s="13">
        <f>IF(AND(G190="Наличные",H190="Оплачено"),F190,"")</f>
      </c>
      <c r="M190" s="14">
        <f>IF(AND(G190="Наличные",H190="Не оплачено"),F190,"")</f>
      </c>
      <c r="N190" s="13">
        <f>IF(AND(G190="Терминал",H190="Оплачено"),F190,"")</f>
      </c>
      <c r="O190" s="14">
        <f>IF(AND(G190="Терминал",H190="Не оплачено"),F190,"")</f>
      </c>
      <c r="P190" s="13">
        <f>IF(AND(G190="Перечисление",H190="Оплачено"),F190,"")</f>
      </c>
      <c r="Q190" s="14">
        <f>IF(AND(G190="Перечисление",H190="Не оплачено"),F190,"")</f>
      </c>
    </row>
    <row r="191">
      <c r="A191" s="9">
        <v>188</v>
      </c>
      <c r="B191" s="7"/>
      <c r="C191" s="6"/>
      <c r="D191" s="8"/>
      <c r="E191" s="8"/>
      <c r="F191" s="4"/>
      <c r="G191" s="8"/>
      <c r="H191" s="8"/>
      <c r="I191" s="8"/>
      <c r="J191" s="13">
        <f>IF(AND(G191="Карта",H191="Оплачено"),F191,"")</f>
      </c>
      <c r="K191" s="14">
        <f>IF(AND(G191="Карта",H191="Не оплачено"),F191,"")</f>
      </c>
      <c r="L191" s="13">
        <f>IF(AND(G191="Наличные",H191="Оплачено"),F191,"")</f>
      </c>
      <c r="M191" s="14">
        <f>IF(AND(G191="Наличные",H191="Не оплачено"),F191,"")</f>
      </c>
      <c r="N191" s="13">
        <f>IF(AND(G191="Терминал",H191="Оплачено"),F191,"")</f>
      </c>
      <c r="O191" s="14">
        <f>IF(AND(G191="Терминал",H191="Не оплачено"),F191,"")</f>
      </c>
      <c r="P191" s="13">
        <f>IF(AND(G191="Перечисление",H191="Оплачено"),F191,"")</f>
      </c>
      <c r="Q191" s="14">
        <f>IF(AND(G191="Перечисление",H191="Не оплачено"),F191,"")</f>
      </c>
    </row>
    <row r="192">
      <c r="A192" s="9">
        <v>189</v>
      </c>
      <c r="B192" s="7"/>
      <c r="C192" s="6"/>
      <c r="D192" s="8"/>
      <c r="E192" s="8"/>
      <c r="F192" s="4"/>
      <c r="G192" s="8"/>
      <c r="H192" s="8"/>
      <c r="I192" s="8"/>
      <c r="J192" s="13">
        <f>IF(AND(G192="Карта",H192="Оплачено"),F192,"")</f>
      </c>
      <c r="K192" s="14">
        <f>IF(AND(G192="Карта",H192="Не оплачено"),F192,"")</f>
      </c>
      <c r="L192" s="13">
        <f>IF(AND(G192="Наличные",H192="Оплачено"),F192,"")</f>
      </c>
      <c r="M192" s="14">
        <f>IF(AND(G192="Наличные",H192="Не оплачено"),F192,"")</f>
      </c>
      <c r="N192" s="13">
        <f>IF(AND(G192="Терминал",H192="Оплачено"),F192,"")</f>
      </c>
      <c r="O192" s="14">
        <f>IF(AND(G192="Терминал",H192="Не оплачено"),F192,"")</f>
      </c>
      <c r="P192" s="13">
        <f>IF(AND(G192="Перечисление",H192="Оплачено"),F192,"")</f>
      </c>
      <c r="Q192" s="14">
        <f>IF(AND(G192="Перечисление",H192="Не оплачено"),F192,"")</f>
      </c>
    </row>
    <row r="193">
      <c r="A193" s="9">
        <v>190</v>
      </c>
      <c r="B193" s="7"/>
      <c r="C193" s="6"/>
      <c r="D193" s="8"/>
      <c r="E193" s="8"/>
      <c r="F193" s="4"/>
      <c r="G193" s="8"/>
      <c r="H193" s="8"/>
      <c r="I193" s="8"/>
      <c r="J193" s="13">
        <f>IF(AND(G193="Карта",H193="Оплачено"),F193,"")</f>
      </c>
      <c r="K193" s="14">
        <f>IF(AND(G193="Карта",H193="Не оплачено"),F193,"")</f>
      </c>
      <c r="L193" s="13">
        <f>IF(AND(G193="Наличные",H193="Оплачено"),F193,"")</f>
      </c>
      <c r="M193" s="14">
        <f>IF(AND(G193="Наличные",H193="Не оплачено"),F193,"")</f>
      </c>
      <c r="N193" s="13">
        <f>IF(AND(G193="Терминал",H193="Оплачено"),F193,"")</f>
      </c>
      <c r="O193" s="14">
        <f>IF(AND(G193="Терминал",H193="Не оплачено"),F193,"")</f>
      </c>
      <c r="P193" s="13">
        <f>IF(AND(G193="Перечисление",H193="Оплачено"),F193,"")</f>
      </c>
      <c r="Q193" s="14">
        <f>IF(AND(G193="Перечисление",H193="Не оплачено"),F193,"")</f>
      </c>
    </row>
    <row r="194">
      <c r="A194" s="9">
        <v>191</v>
      </c>
      <c r="B194" s="7"/>
      <c r="C194" s="6"/>
      <c r="D194" s="8"/>
      <c r="E194" s="8"/>
      <c r="F194" s="4"/>
      <c r="G194" s="8"/>
      <c r="H194" s="8"/>
      <c r="I194" s="8"/>
      <c r="J194" s="13">
        <f>IF(AND(G194="Карта",H194="Оплачено"),F194,"")</f>
      </c>
      <c r="K194" s="14">
        <f>IF(AND(G194="Карта",H194="Не оплачено"),F194,"")</f>
      </c>
      <c r="L194" s="13">
        <f>IF(AND(G194="Наличные",H194="Оплачено"),F194,"")</f>
      </c>
      <c r="M194" s="14">
        <f>IF(AND(G194="Наличные",H194="Не оплачено"),F194,"")</f>
      </c>
      <c r="N194" s="13">
        <f>IF(AND(G194="Терминал",H194="Оплачено"),F194,"")</f>
      </c>
      <c r="O194" s="14">
        <f>IF(AND(G194="Терминал",H194="Не оплачено"),F194,"")</f>
      </c>
      <c r="P194" s="13">
        <f>IF(AND(G194="Перечисление",H194="Оплачено"),F194,"")</f>
      </c>
      <c r="Q194" s="14">
        <f>IF(AND(G194="Перечисление",H194="Не оплачено"),F194,"")</f>
      </c>
    </row>
    <row r="195">
      <c r="A195" s="9">
        <v>192</v>
      </c>
      <c r="B195" s="7"/>
      <c r="C195" s="6"/>
      <c r="D195" s="8"/>
      <c r="E195" s="8"/>
      <c r="F195" s="4"/>
      <c r="G195" s="8"/>
      <c r="H195" s="8"/>
      <c r="I195" s="8"/>
      <c r="J195" s="13">
        <f>IF(AND(G195="Карта",H195="Оплачено"),F195,"")</f>
      </c>
      <c r="K195" s="14">
        <f>IF(AND(G195="Карта",H195="Не оплачено"),F195,"")</f>
      </c>
      <c r="L195" s="13">
        <f>IF(AND(G195="Наличные",H195="Оплачено"),F195,"")</f>
      </c>
      <c r="M195" s="14">
        <f>IF(AND(G195="Наличные",H195="Не оплачено"),F195,"")</f>
      </c>
      <c r="N195" s="13">
        <f>IF(AND(G195="Терминал",H195="Оплачено"),F195,"")</f>
      </c>
      <c r="O195" s="14">
        <f>IF(AND(G195="Терминал",H195="Не оплачено"),F195,"")</f>
      </c>
      <c r="P195" s="13">
        <f>IF(AND(G195="Перечисление",H195="Оплачено"),F195,"")</f>
      </c>
      <c r="Q195" s="14">
        <f>IF(AND(G195="Перечисление",H195="Не оплачено"),F195,"")</f>
      </c>
    </row>
    <row r="196">
      <c r="A196" s="9">
        <v>193</v>
      </c>
      <c r="B196" s="7"/>
      <c r="C196" s="6"/>
      <c r="D196" s="8"/>
      <c r="E196" s="8"/>
      <c r="F196" s="4"/>
      <c r="G196" s="8"/>
      <c r="H196" s="8"/>
      <c r="I196" s="8"/>
      <c r="J196" s="13">
        <f>IF(AND(G196="Карта",H196="Оплачено"),F196,"")</f>
      </c>
      <c r="K196" s="14">
        <f>IF(AND(G196="Карта",H196="Не оплачено"),F196,"")</f>
      </c>
      <c r="L196" s="13">
        <f>IF(AND(G196="Наличные",H196="Оплачено"),F196,"")</f>
      </c>
      <c r="M196" s="14">
        <f>IF(AND(G196="Наличные",H196="Не оплачено"),F196,"")</f>
      </c>
      <c r="N196" s="13">
        <f>IF(AND(G196="Терминал",H196="Оплачено"),F196,"")</f>
      </c>
      <c r="O196" s="14">
        <f>IF(AND(G196="Терминал",H196="Не оплачено"),F196,"")</f>
      </c>
      <c r="P196" s="13">
        <f>IF(AND(G196="Перечисление",H196="Оплачено"),F196,"")</f>
      </c>
      <c r="Q196" s="14">
        <f>IF(AND(G196="Перечисление",H196="Не оплачено"),F196,"")</f>
      </c>
    </row>
    <row r="197">
      <c r="A197" s="9">
        <v>194</v>
      </c>
      <c r="B197" s="7"/>
      <c r="C197" s="6"/>
      <c r="D197" s="8"/>
      <c r="E197" s="8"/>
      <c r="F197" s="4"/>
      <c r="G197" s="8"/>
      <c r="H197" s="8"/>
      <c r="I197" s="8"/>
      <c r="J197" s="13">
        <f>IF(AND(G197="Карта",H197="Оплачено"),F197,"")</f>
      </c>
      <c r="K197" s="14">
        <f>IF(AND(G197="Карта",H197="Не оплачено"),F197,"")</f>
      </c>
      <c r="L197" s="13">
        <f>IF(AND(G197="Наличные",H197="Оплачено"),F197,"")</f>
      </c>
      <c r="M197" s="14">
        <f>IF(AND(G197="Наличные",H197="Не оплачено"),F197,"")</f>
      </c>
      <c r="N197" s="13">
        <f>IF(AND(G197="Терминал",H197="Оплачено"),F197,"")</f>
      </c>
      <c r="O197" s="14">
        <f>IF(AND(G197="Терминал",H197="Не оплачено"),F197,"")</f>
      </c>
      <c r="P197" s="13">
        <f>IF(AND(G197="Перечисление",H197="Оплачено"),F197,"")</f>
      </c>
      <c r="Q197" s="14">
        <f>IF(AND(G197="Перечисление",H197="Не оплачено"),F197,"")</f>
      </c>
    </row>
    <row r="198">
      <c r="A198" s="9">
        <v>195</v>
      </c>
      <c r="B198" s="7"/>
      <c r="C198" s="6"/>
      <c r="D198" s="8"/>
      <c r="E198" s="8"/>
      <c r="F198" s="4"/>
      <c r="G198" s="8"/>
      <c r="H198" s="8"/>
      <c r="I198" s="8"/>
      <c r="J198" s="13">
        <f>IF(AND(G198="Карта",H198="Оплачено"),F198,"")</f>
      </c>
      <c r="K198" s="14">
        <f>IF(AND(G198="Карта",H198="Не оплачено"),F198,"")</f>
      </c>
      <c r="L198" s="13">
        <f>IF(AND(G198="Наличные",H198="Оплачено"),F198,"")</f>
      </c>
      <c r="M198" s="14">
        <f>IF(AND(G198="Наличные",H198="Не оплачено"),F198,"")</f>
      </c>
      <c r="N198" s="13">
        <f>IF(AND(G198="Терминал",H198="Оплачено"),F198,"")</f>
      </c>
      <c r="O198" s="14">
        <f>IF(AND(G198="Терминал",H198="Не оплачено"),F198,"")</f>
      </c>
      <c r="P198" s="13">
        <f>IF(AND(G198="Перечисление",H198="Оплачено"),F198,"")</f>
      </c>
      <c r="Q198" s="14">
        <f>IF(AND(G198="Перечисление",H198="Не оплачено"),F198,"")</f>
      </c>
    </row>
    <row r="199">
      <c r="A199" s="9">
        <v>196</v>
      </c>
      <c r="B199" s="7"/>
      <c r="C199" s="6"/>
      <c r="D199" s="8"/>
      <c r="E199" s="8"/>
      <c r="F199" s="4"/>
      <c r="G199" s="8"/>
      <c r="H199" s="8"/>
      <c r="I199" s="8"/>
      <c r="J199" s="13">
        <f>IF(AND(G199="Карта",H199="Оплачено"),F199,"")</f>
      </c>
      <c r="K199" s="14">
        <f>IF(AND(G199="Карта",H199="Не оплачено"),F199,"")</f>
      </c>
      <c r="L199" s="13">
        <f>IF(AND(G199="Наличные",H199="Оплачено"),F199,"")</f>
      </c>
      <c r="M199" s="14">
        <f>IF(AND(G199="Наличные",H199="Не оплачено"),F199,"")</f>
      </c>
      <c r="N199" s="13">
        <f>IF(AND(G199="Терминал",H199="Оплачено"),F199,"")</f>
      </c>
      <c r="O199" s="14">
        <f>IF(AND(G199="Терминал",H199="Не оплачено"),F199,"")</f>
      </c>
      <c r="P199" s="13">
        <f>IF(AND(G199="Перечисление",H199="Оплачено"),F199,"")</f>
      </c>
      <c r="Q199" s="14">
        <f>IF(AND(G199="Перечисление",H199="Не оплачено"),F199,"")</f>
      </c>
    </row>
    <row r="200">
      <c r="A200" s="9">
        <v>197</v>
      </c>
      <c r="B200" s="7"/>
      <c r="C200" s="6"/>
      <c r="D200" s="8"/>
      <c r="E200" s="8"/>
      <c r="F200" s="4"/>
      <c r="G200" s="8"/>
      <c r="H200" s="8"/>
      <c r="I200" s="8"/>
      <c r="J200" s="13">
        <f>IF(AND(G200="Карта",H200="Оплачено"),F200,"")</f>
      </c>
      <c r="K200" s="14">
        <f>IF(AND(G200="Карта",H200="Не оплачено"),F200,"")</f>
      </c>
      <c r="L200" s="13">
        <f>IF(AND(G200="Наличные",H200="Оплачено"),F200,"")</f>
      </c>
      <c r="M200" s="14">
        <f>IF(AND(G200="Наличные",H200="Не оплачено"),F200,"")</f>
      </c>
      <c r="N200" s="13">
        <f>IF(AND(G200="Терминал",H200="Оплачено"),F200,"")</f>
      </c>
      <c r="O200" s="14">
        <f>IF(AND(G200="Терминал",H200="Не оплачено"),F200,"")</f>
      </c>
      <c r="P200" s="13">
        <f>IF(AND(G200="Перечисление",H200="Оплачено"),F200,"")</f>
      </c>
      <c r="Q200" s="14">
        <f>IF(AND(G200="Перечисление",H200="Не оплачено"),F200,"")</f>
      </c>
    </row>
    <row r="201">
      <c r="A201" s="9">
        <v>198</v>
      </c>
      <c r="B201" s="7"/>
      <c r="C201" s="6"/>
      <c r="D201" s="8"/>
      <c r="E201" s="8"/>
      <c r="F201" s="4"/>
      <c r="G201" s="8"/>
      <c r="H201" s="8"/>
      <c r="I201" s="8"/>
      <c r="J201" s="13">
        <f>IF(AND(G201="Карта",H201="Оплачено"),F201,"")</f>
      </c>
      <c r="K201" s="14">
        <f>IF(AND(G201="Карта",H201="Не оплачено"),F201,"")</f>
      </c>
      <c r="L201" s="13">
        <f>IF(AND(G201="Наличные",H201="Оплачено"),F201,"")</f>
      </c>
      <c r="M201" s="14">
        <f>IF(AND(G201="Наличные",H201="Не оплачено"),F201,"")</f>
      </c>
      <c r="N201" s="13">
        <f>IF(AND(G201="Терминал",H201="Оплачено"),F201,"")</f>
      </c>
      <c r="O201" s="14">
        <f>IF(AND(G201="Терминал",H201="Не оплачено"),F201,"")</f>
      </c>
      <c r="P201" s="13">
        <f>IF(AND(G201="Перечисление",H201="Оплачено"),F201,"")</f>
      </c>
      <c r="Q201" s="14">
        <f>IF(AND(G201="Перечисление",H201="Не оплачено"),F201,"")</f>
      </c>
    </row>
    <row r="202">
      <c r="A202" s="9">
        <v>199</v>
      </c>
      <c r="B202" s="7"/>
      <c r="C202" s="6"/>
      <c r="D202" s="8"/>
      <c r="E202" s="8"/>
      <c r="F202" s="4"/>
      <c r="G202" s="8"/>
      <c r="H202" s="8"/>
      <c r="I202" s="8"/>
      <c r="J202" s="13">
        <f>IF(AND(G202="Карта",H202="Оплачено"),F202,"")</f>
      </c>
      <c r="K202" s="14">
        <f>IF(AND(G202="Карта",H202="Не оплачено"),F202,"")</f>
      </c>
      <c r="L202" s="13">
        <f>IF(AND(G202="Наличные",H202="Оплачено"),F202,"")</f>
      </c>
      <c r="M202" s="14">
        <f>IF(AND(G202="Наличные",H202="Не оплачено"),F202,"")</f>
      </c>
      <c r="N202" s="13">
        <f>IF(AND(G202="Терминал",H202="Оплачено"),F202,"")</f>
      </c>
      <c r="O202" s="14">
        <f>IF(AND(G202="Терминал",H202="Не оплачено"),F202,"")</f>
      </c>
      <c r="P202" s="13">
        <f>IF(AND(G202="Перечисление",H202="Оплачено"),F202,"")</f>
      </c>
      <c r="Q202" s="14">
        <f>IF(AND(G202="Перечисление",H202="Не оплачено"),F202,"")</f>
      </c>
    </row>
    <row r="203">
      <c r="A203" s="9">
        <v>200</v>
      </c>
      <c r="B203" s="7"/>
      <c r="C203" s="6"/>
      <c r="D203" s="8"/>
      <c r="E203" s="8"/>
      <c r="F203" s="4"/>
      <c r="G203" s="8"/>
      <c r="H203" s="8"/>
      <c r="I203" s="8"/>
      <c r="J203" s="13">
        <f>IF(AND(G203="Карта",H203="Оплачено"),F203,"")</f>
      </c>
      <c r="K203" s="14">
        <f>IF(AND(G203="Карта",H203="Не оплачено"),F203,"")</f>
      </c>
      <c r="L203" s="13">
        <f>IF(AND(G203="Наличные",H203="Оплачено"),F203,"")</f>
      </c>
      <c r="M203" s="14">
        <f>IF(AND(G203="Наличные",H203="Не оплачено"),F203,"")</f>
      </c>
      <c r="N203" s="13">
        <f>IF(AND(G203="Терминал",H203="Оплачено"),F203,"")</f>
      </c>
      <c r="O203" s="14">
        <f>IF(AND(G203="Терминал",H203="Не оплачено"),F203,"")</f>
      </c>
      <c r="P203" s="13">
        <f>IF(AND(G203="Перечисление",H203="Оплачено"),F203,"")</f>
      </c>
      <c r="Q203" s="14">
        <f>IF(AND(G203="Перечисление",H203="Не оплачено"),F203,"")</f>
      </c>
    </row>
    <row r="204">
      <c r="A204" s="9">
        <v>201</v>
      </c>
      <c r="B204" s="7"/>
      <c r="C204" s="6"/>
      <c r="D204" s="8"/>
      <c r="E204" s="8"/>
      <c r="F204" s="4"/>
      <c r="G204" s="8"/>
      <c r="H204" s="8"/>
      <c r="I204" s="8"/>
      <c r="J204" s="13">
        <f>IF(AND(G204="Карта",H204="Оплачено"),F204,"")</f>
      </c>
      <c r="K204" s="14">
        <f>IF(AND(G204="Карта",H204="Не оплачено"),F204,"")</f>
      </c>
      <c r="L204" s="13">
        <f>IF(AND(G204="Наличные",H204="Оплачено"),F204,"")</f>
      </c>
      <c r="M204" s="14">
        <f>IF(AND(G204="Наличные",H204="Не оплачено"),F204,"")</f>
      </c>
      <c r="N204" s="13">
        <f>IF(AND(G204="Терминал",H204="Оплачено"),F204,"")</f>
      </c>
      <c r="O204" s="14">
        <f>IF(AND(G204="Терминал",H204="Не оплачено"),F204,"")</f>
      </c>
      <c r="P204" s="13">
        <f>IF(AND(G204="Перечисление",H204="Оплачено"),F204,"")</f>
      </c>
      <c r="Q204" s="14">
        <f>IF(AND(G204="Перечисление",H204="Не оплачено"),F204,"")</f>
      </c>
    </row>
    <row r="205">
      <c r="A205" s="9">
        <v>202</v>
      </c>
      <c r="B205" s="7"/>
      <c r="C205" s="6"/>
      <c r="D205" s="8"/>
      <c r="E205" s="8"/>
      <c r="F205" s="4"/>
      <c r="G205" s="8"/>
      <c r="H205" s="8"/>
      <c r="I205" s="8"/>
      <c r="J205" s="13">
        <f>IF(AND(G205="Карта",H205="Оплачено"),F205,"")</f>
      </c>
      <c r="K205" s="14">
        <f>IF(AND(G205="Карта",H205="Не оплачено"),F205,"")</f>
      </c>
      <c r="L205" s="13">
        <f>IF(AND(G205="Наличные",H205="Оплачено"),F205,"")</f>
      </c>
      <c r="M205" s="14">
        <f>IF(AND(G205="Наличные",H205="Не оплачено"),F205,"")</f>
      </c>
      <c r="N205" s="13">
        <f>IF(AND(G205="Терминал",H205="Оплачено"),F205,"")</f>
      </c>
      <c r="O205" s="14">
        <f>IF(AND(G205="Терминал",H205="Не оплачено"),F205,"")</f>
      </c>
      <c r="P205" s="13">
        <f>IF(AND(G205="Перечисление",H205="Оплачено"),F205,"")</f>
      </c>
      <c r="Q205" s="14">
        <f>IF(AND(G205="Перечисление",H205="Не оплачено"),F205,"")</f>
      </c>
    </row>
    <row r="206">
      <c r="A206" s="9">
        <v>203</v>
      </c>
      <c r="B206" s="7"/>
      <c r="C206" s="6"/>
      <c r="D206" s="8"/>
      <c r="E206" s="8"/>
      <c r="F206" s="4"/>
      <c r="G206" s="8"/>
      <c r="H206" s="8"/>
      <c r="I206" s="8"/>
      <c r="J206" s="13">
        <f>IF(AND(G206="Карта",H206="Оплачено"),F206,"")</f>
      </c>
      <c r="K206" s="14">
        <f>IF(AND(G206="Карта",H206="Не оплачено"),F206,"")</f>
      </c>
      <c r="L206" s="13">
        <f>IF(AND(G206="Наличные",H206="Оплачено"),F206,"")</f>
      </c>
      <c r="M206" s="14">
        <f>IF(AND(G206="Наличные",H206="Не оплачено"),F206,"")</f>
      </c>
      <c r="N206" s="13">
        <f>IF(AND(G206="Терминал",H206="Оплачено"),F206,"")</f>
      </c>
      <c r="O206" s="14">
        <f>IF(AND(G206="Терминал",H206="Не оплачено"),F206,"")</f>
      </c>
      <c r="P206" s="13">
        <f>IF(AND(G206="Перечисление",H206="Оплачено"),F206,"")</f>
      </c>
      <c r="Q206" s="14">
        <f>IF(AND(G206="Перечисление",H206="Не оплачено"),F206,"")</f>
      </c>
    </row>
    <row r="207">
      <c r="A207" s="9">
        <v>204</v>
      </c>
      <c r="B207" s="7"/>
      <c r="C207" s="6"/>
      <c r="D207" s="8"/>
      <c r="E207" s="8"/>
      <c r="F207" s="4"/>
      <c r="G207" s="8"/>
      <c r="H207" s="8"/>
      <c r="I207" s="8"/>
      <c r="J207" s="13">
        <f>IF(AND(G207="Карта",H207="Оплачено"),F207,"")</f>
      </c>
      <c r="K207" s="14">
        <f>IF(AND(G207="Карта",H207="Не оплачено"),F207,"")</f>
      </c>
      <c r="L207" s="13">
        <f>IF(AND(G207="Наличные",H207="Оплачено"),F207,"")</f>
      </c>
      <c r="M207" s="14">
        <f>IF(AND(G207="Наличные",H207="Не оплачено"),F207,"")</f>
      </c>
      <c r="N207" s="13">
        <f>IF(AND(G207="Терминал",H207="Оплачено"),F207,"")</f>
      </c>
      <c r="O207" s="14">
        <f>IF(AND(G207="Терминал",H207="Не оплачено"),F207,"")</f>
      </c>
      <c r="P207" s="13">
        <f>IF(AND(G207="Перечисление",H207="Оплачено"),F207,"")</f>
      </c>
      <c r="Q207" s="14">
        <f>IF(AND(G207="Перечисление",H207="Не оплачено"),F207,"")</f>
      </c>
    </row>
    <row r="208">
      <c r="A208" s="9">
        <v>205</v>
      </c>
      <c r="B208" s="7"/>
      <c r="C208" s="6"/>
      <c r="D208" s="8"/>
      <c r="E208" s="8"/>
      <c r="F208" s="4"/>
      <c r="G208" s="8"/>
      <c r="H208" s="8"/>
      <c r="I208" s="8"/>
      <c r="J208" s="13">
        <f>IF(AND(G208="Карта",H208="Оплачено"),F208,"")</f>
      </c>
      <c r="K208" s="14">
        <f>IF(AND(G208="Карта",H208="Не оплачено"),F208,"")</f>
      </c>
      <c r="L208" s="13">
        <f>IF(AND(G208="Наличные",H208="Оплачено"),F208,"")</f>
      </c>
      <c r="M208" s="14">
        <f>IF(AND(G208="Наличные",H208="Не оплачено"),F208,"")</f>
      </c>
      <c r="N208" s="13">
        <f>IF(AND(G208="Терминал",H208="Оплачено"),F208,"")</f>
      </c>
      <c r="O208" s="14">
        <f>IF(AND(G208="Терминал",H208="Не оплачено"),F208,"")</f>
      </c>
      <c r="P208" s="13">
        <f>IF(AND(G208="Перечисление",H208="Оплачено"),F208,"")</f>
      </c>
      <c r="Q208" s="14">
        <f>IF(AND(G208="Перечисление",H208="Не оплачено"),F208,"")</f>
      </c>
    </row>
    <row r="209">
      <c r="A209" s="9">
        <v>206</v>
      </c>
      <c r="B209" s="7"/>
      <c r="C209" s="6"/>
      <c r="D209" s="8"/>
      <c r="E209" s="8"/>
      <c r="F209" s="4"/>
      <c r="G209" s="8"/>
      <c r="H209" s="8"/>
      <c r="I209" s="8"/>
      <c r="J209" s="13">
        <f>IF(AND(G209="Карта",H209="Оплачено"),F209,"")</f>
      </c>
      <c r="K209" s="14">
        <f>IF(AND(G209="Карта",H209="Не оплачено"),F209,"")</f>
      </c>
      <c r="L209" s="13">
        <f>IF(AND(G209="Наличные",H209="Оплачено"),F209,"")</f>
      </c>
      <c r="M209" s="14">
        <f>IF(AND(G209="Наличные",H209="Не оплачено"),F209,"")</f>
      </c>
      <c r="N209" s="13">
        <f>IF(AND(G209="Терминал",H209="Оплачено"),F209,"")</f>
      </c>
      <c r="O209" s="14">
        <f>IF(AND(G209="Терминал",H209="Не оплачено"),F209,"")</f>
      </c>
      <c r="P209" s="13">
        <f>IF(AND(G209="Перечисление",H209="Оплачено"),F209,"")</f>
      </c>
      <c r="Q209" s="14">
        <f>IF(AND(G209="Перечисление",H209="Не оплачено"),F209,"")</f>
      </c>
    </row>
    <row r="210">
      <c r="A210" s="9">
        <v>207</v>
      </c>
      <c r="B210" s="7"/>
      <c r="C210" s="6"/>
      <c r="D210" s="8"/>
      <c r="E210" s="8"/>
      <c r="F210" s="4"/>
      <c r="G210" s="8"/>
      <c r="H210" s="8"/>
      <c r="I210" s="8"/>
      <c r="J210" s="13">
        <f>IF(AND(G210="Карта",H210="Оплачено"),F210,"")</f>
      </c>
      <c r="K210" s="14">
        <f>IF(AND(G210="Карта",H210="Не оплачено"),F210,"")</f>
      </c>
      <c r="L210" s="13">
        <f>IF(AND(G210="Наличные",H210="Оплачено"),F210,"")</f>
      </c>
      <c r="M210" s="14">
        <f>IF(AND(G210="Наличные",H210="Не оплачено"),F210,"")</f>
      </c>
      <c r="N210" s="13">
        <f>IF(AND(G210="Терминал",H210="Оплачено"),F210,"")</f>
      </c>
      <c r="O210" s="14">
        <f>IF(AND(G210="Терминал",H210="Не оплачено"),F210,"")</f>
      </c>
      <c r="P210" s="13">
        <f>IF(AND(G210="Перечисление",H210="Оплачено"),F210,"")</f>
      </c>
      <c r="Q210" s="14">
        <f>IF(AND(G210="Перечисление",H210="Не оплачено"),F210,"")</f>
      </c>
    </row>
    <row r="211">
      <c r="A211" s="9">
        <v>208</v>
      </c>
      <c r="B211" s="7"/>
      <c r="C211" s="6"/>
      <c r="D211" s="8"/>
      <c r="E211" s="8"/>
      <c r="F211" s="4"/>
      <c r="G211" s="8"/>
      <c r="H211" s="8"/>
      <c r="I211" s="8"/>
      <c r="J211" s="13">
        <f>IF(AND(G211="Карта",H211="Оплачено"),F211,"")</f>
      </c>
      <c r="K211" s="14">
        <f>IF(AND(G211="Карта",H211="Не оплачено"),F211,"")</f>
      </c>
      <c r="L211" s="13">
        <f>IF(AND(G211="Наличные",H211="Оплачено"),F211,"")</f>
      </c>
      <c r="M211" s="14">
        <f>IF(AND(G211="Наличные",H211="Не оплачено"),F211,"")</f>
      </c>
      <c r="N211" s="13">
        <f>IF(AND(G211="Терминал",H211="Оплачено"),F211,"")</f>
      </c>
      <c r="O211" s="14">
        <f>IF(AND(G211="Терминал",H211="Не оплачено"),F211,"")</f>
      </c>
      <c r="P211" s="13">
        <f>IF(AND(G211="Перечисление",H211="Оплачено"),F211,"")</f>
      </c>
      <c r="Q211" s="14">
        <f>IF(AND(G211="Перечисление",H211="Не оплачено"),F211,"")</f>
      </c>
    </row>
    <row r="212">
      <c r="A212" s="9">
        <v>209</v>
      </c>
      <c r="B212" s="7"/>
      <c r="C212" s="6"/>
      <c r="D212" s="8"/>
      <c r="E212" s="8"/>
      <c r="F212" s="4"/>
      <c r="G212" s="8"/>
      <c r="H212" s="8"/>
      <c r="I212" s="8"/>
      <c r="J212" s="13">
        <f>IF(AND(G212="Карта",H212="Оплачено"),F212,"")</f>
      </c>
      <c r="K212" s="14">
        <f>IF(AND(G212="Карта",H212="Не оплачено"),F212,"")</f>
      </c>
      <c r="L212" s="13">
        <f>IF(AND(G212="Наличные",H212="Оплачено"),F212,"")</f>
      </c>
      <c r="M212" s="14">
        <f>IF(AND(G212="Наличные",H212="Не оплачено"),F212,"")</f>
      </c>
      <c r="N212" s="13">
        <f>IF(AND(G212="Терминал",H212="Оплачено"),F212,"")</f>
      </c>
      <c r="O212" s="14">
        <f>IF(AND(G212="Терминал",H212="Не оплачено"),F212,"")</f>
      </c>
      <c r="P212" s="13">
        <f>IF(AND(G212="Перечисление",H212="Оплачено"),F212,"")</f>
      </c>
      <c r="Q212" s="14">
        <f>IF(AND(G212="Перечисление",H212="Не оплачено"),F212,"")</f>
      </c>
    </row>
    <row r="213">
      <c r="A213" s="9">
        <v>210</v>
      </c>
      <c r="B213" s="7"/>
      <c r="C213" s="6"/>
      <c r="D213" s="8"/>
      <c r="E213" s="8"/>
      <c r="F213" s="4"/>
      <c r="G213" s="8"/>
      <c r="H213" s="8"/>
      <c r="I213" s="8"/>
      <c r="J213" s="13">
        <f>IF(AND(G213="Карта",H213="Оплачено"),F213,"")</f>
      </c>
      <c r="K213" s="14">
        <f>IF(AND(G213="Карта",H213="Не оплачено"),F213,"")</f>
      </c>
      <c r="L213" s="13">
        <f>IF(AND(G213="Наличные",H213="Оплачено"),F213,"")</f>
      </c>
      <c r="M213" s="14">
        <f>IF(AND(G213="Наличные",H213="Не оплачено"),F213,"")</f>
      </c>
      <c r="N213" s="13">
        <f>IF(AND(G213="Терминал",H213="Оплачено"),F213,"")</f>
      </c>
      <c r="O213" s="14">
        <f>IF(AND(G213="Терминал",H213="Не оплачено"),F213,"")</f>
      </c>
      <c r="P213" s="13">
        <f>IF(AND(G213="Перечисление",H213="Оплачено"),F213,"")</f>
      </c>
      <c r="Q213" s="14">
        <f>IF(AND(G213="Перечисление",H213="Не оплачено"),F213,"")</f>
      </c>
    </row>
    <row r="214">
      <c r="A214" s="9">
        <v>211</v>
      </c>
      <c r="B214" s="7"/>
      <c r="C214" s="6"/>
      <c r="D214" s="8"/>
      <c r="E214" s="8"/>
      <c r="F214" s="4"/>
      <c r="G214" s="8"/>
      <c r="H214" s="8"/>
      <c r="I214" s="8"/>
      <c r="J214" s="13">
        <f>IF(AND(G214="Карта",H214="Оплачено"),F214,"")</f>
      </c>
      <c r="K214" s="14">
        <f>IF(AND(G214="Карта",H214="Не оплачено"),F214,"")</f>
      </c>
      <c r="L214" s="13">
        <f>IF(AND(G214="Наличные",H214="Оплачено"),F214,"")</f>
      </c>
      <c r="M214" s="14">
        <f>IF(AND(G214="Наличные",H214="Не оплачено"),F214,"")</f>
      </c>
      <c r="N214" s="13">
        <f>IF(AND(G214="Терминал",H214="Оплачено"),F214,"")</f>
      </c>
      <c r="O214" s="14">
        <f>IF(AND(G214="Терминал",H214="Не оплачено"),F214,"")</f>
      </c>
      <c r="P214" s="13">
        <f>IF(AND(G214="Перечисление",H214="Оплачено"),F214,"")</f>
      </c>
      <c r="Q214" s="14">
        <f>IF(AND(G214="Перечисление",H214="Не оплачено"),F214,"")</f>
      </c>
    </row>
    <row r="215">
      <c r="A215" s="9">
        <v>212</v>
      </c>
      <c r="B215" s="7"/>
      <c r="C215" s="6"/>
      <c r="D215" s="8"/>
      <c r="E215" s="8"/>
      <c r="F215" s="4"/>
      <c r="G215" s="8"/>
      <c r="H215" s="8"/>
      <c r="I215" s="8"/>
      <c r="J215" s="13">
        <f>IF(AND(G215="Карта",H215="Оплачено"),F215,"")</f>
      </c>
      <c r="K215" s="14">
        <f>IF(AND(G215="Карта",H215="Не оплачено"),F215,"")</f>
      </c>
      <c r="L215" s="13">
        <f>IF(AND(G215="Наличные",H215="Оплачено"),F215,"")</f>
      </c>
      <c r="M215" s="14">
        <f>IF(AND(G215="Наличные",H215="Не оплачено"),F215,"")</f>
      </c>
      <c r="N215" s="13">
        <f>IF(AND(G215="Терминал",H215="Оплачено"),F215,"")</f>
      </c>
      <c r="O215" s="14">
        <f>IF(AND(G215="Терминал",H215="Не оплачено"),F215,"")</f>
      </c>
      <c r="P215" s="13">
        <f>IF(AND(G215="Перечисление",H215="Оплачено"),F215,"")</f>
      </c>
      <c r="Q215" s="14">
        <f>IF(AND(G215="Перечисление",H215="Не оплачено"),F215,"")</f>
      </c>
    </row>
    <row r="216">
      <c r="A216" s="9">
        <v>213</v>
      </c>
      <c r="B216" s="7"/>
      <c r="C216" s="6"/>
      <c r="D216" s="8"/>
      <c r="E216" s="8"/>
      <c r="F216" s="4"/>
      <c r="G216" s="8"/>
      <c r="H216" s="8"/>
      <c r="I216" s="8"/>
      <c r="J216" s="13">
        <f>IF(AND(G216="Карта",H216="Оплачено"),F216,"")</f>
      </c>
      <c r="K216" s="14">
        <f>IF(AND(G216="Карта",H216="Не оплачено"),F216,"")</f>
      </c>
      <c r="L216" s="13">
        <f>IF(AND(G216="Наличные",H216="Оплачено"),F216,"")</f>
      </c>
      <c r="M216" s="14">
        <f>IF(AND(G216="Наличные",H216="Не оплачено"),F216,"")</f>
      </c>
      <c r="N216" s="13">
        <f>IF(AND(G216="Терминал",H216="Оплачено"),F216,"")</f>
      </c>
      <c r="O216" s="14">
        <f>IF(AND(G216="Терминал",H216="Не оплачено"),F216,"")</f>
      </c>
      <c r="P216" s="13">
        <f>IF(AND(G216="Перечисление",H216="Оплачено"),F216,"")</f>
      </c>
      <c r="Q216" s="14">
        <f>IF(AND(G216="Перечисление",H216="Не оплачено"),F216,"")</f>
      </c>
    </row>
    <row r="217">
      <c r="A217" s="9">
        <v>214</v>
      </c>
      <c r="B217" s="7"/>
      <c r="C217" s="6"/>
      <c r="D217" s="8"/>
      <c r="E217" s="8"/>
      <c r="F217" s="4"/>
      <c r="G217" s="8"/>
      <c r="H217" s="8"/>
      <c r="I217" s="8"/>
      <c r="J217" s="13">
        <f>IF(AND(G217="Карта",H217="Оплачено"),F217,"")</f>
      </c>
      <c r="K217" s="14">
        <f>IF(AND(G217="Карта",H217="Не оплачено"),F217,"")</f>
      </c>
      <c r="L217" s="13">
        <f>IF(AND(G217="Наличные",H217="Оплачено"),F217,"")</f>
      </c>
      <c r="M217" s="14">
        <f>IF(AND(G217="Наличные",H217="Не оплачено"),F217,"")</f>
      </c>
      <c r="N217" s="13">
        <f>IF(AND(G217="Терминал",H217="Оплачено"),F217,"")</f>
      </c>
      <c r="O217" s="14">
        <f>IF(AND(G217="Терминал",H217="Не оплачено"),F217,"")</f>
      </c>
      <c r="P217" s="13">
        <f>IF(AND(G217="Перечисление",H217="Оплачено"),F217,"")</f>
      </c>
      <c r="Q217" s="14">
        <f>IF(AND(G217="Перечисление",H217="Не оплачено"),F217,"")</f>
      </c>
    </row>
    <row r="218">
      <c r="A218" s="9">
        <v>215</v>
      </c>
      <c r="B218" s="7"/>
      <c r="C218" s="6"/>
      <c r="D218" s="8"/>
      <c r="E218" s="8"/>
      <c r="F218" s="4"/>
      <c r="G218" s="8"/>
      <c r="H218" s="8"/>
      <c r="I218" s="8"/>
      <c r="J218" s="13">
        <f>IF(AND(G218="Карта",H218="Оплачено"),F218,"")</f>
      </c>
      <c r="K218" s="14">
        <f>IF(AND(G218="Карта",H218="Не оплачено"),F218,"")</f>
      </c>
      <c r="L218" s="13">
        <f>IF(AND(G218="Наличные",H218="Оплачено"),F218,"")</f>
      </c>
      <c r="M218" s="14">
        <f>IF(AND(G218="Наличные",H218="Не оплачено"),F218,"")</f>
      </c>
      <c r="N218" s="13">
        <f>IF(AND(G218="Терминал",H218="Оплачено"),F218,"")</f>
      </c>
      <c r="O218" s="14">
        <f>IF(AND(G218="Терминал",H218="Не оплачено"),F218,"")</f>
      </c>
      <c r="P218" s="13">
        <f>IF(AND(G218="Перечисление",H218="Оплачено"),F218,"")</f>
      </c>
      <c r="Q218" s="14">
        <f>IF(AND(G218="Перечисление",H218="Не оплачено"),F218,"")</f>
      </c>
    </row>
    <row r="219">
      <c r="A219" s="9">
        <v>216</v>
      </c>
      <c r="B219" s="7"/>
      <c r="C219" s="6"/>
      <c r="D219" s="8"/>
      <c r="E219" s="8"/>
      <c r="F219" s="4"/>
      <c r="G219" s="8"/>
      <c r="H219" s="8"/>
      <c r="I219" s="8"/>
      <c r="J219" s="13">
        <f>IF(AND(G219="Карта",H219="Оплачено"),F219,"")</f>
      </c>
      <c r="K219" s="14">
        <f>IF(AND(G219="Карта",H219="Не оплачено"),F219,"")</f>
      </c>
      <c r="L219" s="13">
        <f>IF(AND(G219="Наличные",H219="Оплачено"),F219,"")</f>
      </c>
      <c r="M219" s="14">
        <f>IF(AND(G219="Наличные",H219="Не оплачено"),F219,"")</f>
      </c>
      <c r="N219" s="13">
        <f>IF(AND(G219="Терминал",H219="Оплачено"),F219,"")</f>
      </c>
      <c r="O219" s="14">
        <f>IF(AND(G219="Терминал",H219="Не оплачено"),F219,"")</f>
      </c>
      <c r="P219" s="13">
        <f>IF(AND(G219="Перечисление",H219="Оплачено"),F219,"")</f>
      </c>
      <c r="Q219" s="14">
        <f>IF(AND(G219="Перечисление",H219="Не оплачено"),F219,"")</f>
      </c>
    </row>
    <row r="220">
      <c r="A220" s="9">
        <v>217</v>
      </c>
      <c r="B220" s="7"/>
      <c r="C220" s="6"/>
      <c r="D220" s="8"/>
      <c r="E220" s="8"/>
      <c r="F220" s="4"/>
      <c r="G220" s="8"/>
      <c r="H220" s="8"/>
      <c r="I220" s="8"/>
      <c r="J220" s="13">
        <f>IF(AND(G220="Карта",H220="Оплачено"),F220,"")</f>
      </c>
      <c r="K220" s="14">
        <f>IF(AND(G220="Карта",H220="Не оплачено"),F220,"")</f>
      </c>
      <c r="L220" s="13">
        <f>IF(AND(G220="Наличные",H220="Оплачено"),F220,"")</f>
      </c>
      <c r="M220" s="14">
        <f>IF(AND(G220="Наличные",H220="Не оплачено"),F220,"")</f>
      </c>
      <c r="N220" s="13">
        <f>IF(AND(G220="Терминал",H220="Оплачено"),F220,"")</f>
      </c>
      <c r="O220" s="14">
        <f>IF(AND(G220="Терминал",H220="Не оплачено"),F220,"")</f>
      </c>
      <c r="P220" s="13">
        <f>IF(AND(G220="Перечисление",H220="Оплачено"),F220,"")</f>
      </c>
      <c r="Q220" s="14">
        <f>IF(AND(G220="Перечисление",H220="Не оплачено"),F220,"")</f>
      </c>
    </row>
    <row r="221">
      <c r="A221" s="9">
        <v>218</v>
      </c>
      <c r="B221" s="7"/>
      <c r="C221" s="6"/>
      <c r="D221" s="8"/>
      <c r="E221" s="8"/>
      <c r="F221" s="4"/>
      <c r="G221" s="8"/>
      <c r="H221" s="8"/>
      <c r="I221" s="8"/>
      <c r="J221" s="13">
        <f>IF(AND(G221="Карта",H221="Оплачено"),F221,"")</f>
      </c>
      <c r="K221" s="14">
        <f>IF(AND(G221="Карта",H221="Не оплачено"),F221,"")</f>
      </c>
      <c r="L221" s="13">
        <f>IF(AND(G221="Наличные",H221="Оплачено"),F221,"")</f>
      </c>
      <c r="M221" s="14">
        <f>IF(AND(G221="Наличные",H221="Не оплачено"),F221,"")</f>
      </c>
      <c r="N221" s="13">
        <f>IF(AND(G221="Терминал",H221="Оплачено"),F221,"")</f>
      </c>
      <c r="O221" s="14">
        <f>IF(AND(G221="Терминал",H221="Не оплачено"),F221,"")</f>
      </c>
      <c r="P221" s="13">
        <f>IF(AND(G221="Перечисление",H221="Оплачено"),F221,"")</f>
      </c>
      <c r="Q221" s="14">
        <f>IF(AND(G221="Перечисление",H221="Не оплачено"),F221,"")</f>
      </c>
    </row>
    <row r="222">
      <c r="A222" s="9">
        <v>219</v>
      </c>
      <c r="B222" s="7"/>
      <c r="C222" s="6"/>
      <c r="D222" s="8"/>
      <c r="E222" s="8"/>
      <c r="F222" s="4"/>
      <c r="G222" s="8"/>
      <c r="H222" s="8"/>
      <c r="I222" s="8"/>
      <c r="J222" s="13">
        <f>IF(AND(G222="Карта",H222="Оплачено"),F222,"")</f>
      </c>
      <c r="K222" s="14">
        <f>IF(AND(G222="Карта",H222="Не оплачено"),F222,"")</f>
      </c>
      <c r="L222" s="13">
        <f>IF(AND(G222="Наличные",H222="Оплачено"),F222,"")</f>
      </c>
      <c r="M222" s="14">
        <f>IF(AND(G222="Наличные",H222="Не оплачено"),F222,"")</f>
      </c>
      <c r="N222" s="13">
        <f>IF(AND(G222="Терминал",H222="Оплачено"),F222,"")</f>
      </c>
      <c r="O222" s="14">
        <f>IF(AND(G222="Терминал",H222="Не оплачено"),F222,"")</f>
      </c>
      <c r="P222" s="13">
        <f>IF(AND(G222="Перечисление",H222="Оплачено"),F222,"")</f>
      </c>
      <c r="Q222" s="14">
        <f>IF(AND(G222="Перечисление",H222="Не оплачено"),F222,"")</f>
      </c>
    </row>
    <row r="223">
      <c r="A223" s="9">
        <v>220</v>
      </c>
      <c r="B223" s="7"/>
      <c r="C223" s="6"/>
      <c r="D223" s="8"/>
      <c r="E223" s="8"/>
      <c r="F223" s="4"/>
      <c r="G223" s="8"/>
      <c r="H223" s="8"/>
      <c r="I223" s="8"/>
      <c r="J223" s="13">
        <f>IF(AND(G223="Карта",H223="Оплачено"),F223,"")</f>
      </c>
      <c r="K223" s="14">
        <f>IF(AND(G223="Карта",H223="Не оплачено"),F223,"")</f>
      </c>
      <c r="L223" s="13">
        <f>IF(AND(G223="Наличные",H223="Оплачено"),F223,"")</f>
      </c>
      <c r="M223" s="14">
        <f>IF(AND(G223="Наличные",H223="Не оплачено"),F223,"")</f>
      </c>
      <c r="N223" s="13">
        <f>IF(AND(G223="Терминал",H223="Оплачено"),F223,"")</f>
      </c>
      <c r="O223" s="14">
        <f>IF(AND(G223="Терминал",H223="Не оплачено"),F223,"")</f>
      </c>
      <c r="P223" s="13">
        <f>IF(AND(G223="Перечисление",H223="Оплачено"),F223,"")</f>
      </c>
      <c r="Q223" s="14">
        <f>IF(AND(G223="Перечисление",H223="Не оплачено"),F223,"")</f>
      </c>
    </row>
    <row r="224">
      <c r="A224" s="9">
        <v>221</v>
      </c>
      <c r="B224" s="7"/>
      <c r="C224" s="6"/>
      <c r="D224" s="8"/>
      <c r="E224" s="8"/>
      <c r="F224" s="4"/>
      <c r="G224" s="8"/>
      <c r="H224" s="8"/>
      <c r="I224" s="8"/>
      <c r="J224" s="13">
        <f>IF(AND(G224="Карта",H224="Оплачено"),F224,"")</f>
      </c>
      <c r="K224" s="14">
        <f>IF(AND(G224="Карта",H224="Не оплачено"),F224,"")</f>
      </c>
      <c r="L224" s="13">
        <f>IF(AND(G224="Наличные",H224="Оплачено"),F224,"")</f>
      </c>
      <c r="M224" s="14">
        <f>IF(AND(G224="Наличные",H224="Не оплачено"),F224,"")</f>
      </c>
      <c r="N224" s="13">
        <f>IF(AND(G224="Терминал",H224="Оплачено"),F224,"")</f>
      </c>
      <c r="O224" s="14">
        <f>IF(AND(G224="Терминал",H224="Не оплачено"),F224,"")</f>
      </c>
      <c r="P224" s="13">
        <f>IF(AND(G224="Перечисление",H224="Оплачено"),F224,"")</f>
      </c>
      <c r="Q224" s="14">
        <f>IF(AND(G224="Перечисление",H224="Не оплачено"),F224,"")</f>
      </c>
    </row>
    <row r="225">
      <c r="A225" s="9">
        <v>222</v>
      </c>
      <c r="B225" s="7"/>
      <c r="C225" s="6"/>
      <c r="D225" s="8"/>
      <c r="E225" s="8"/>
      <c r="F225" s="4"/>
      <c r="G225" s="8"/>
      <c r="H225" s="8"/>
      <c r="I225" s="8"/>
      <c r="J225" s="13">
        <f>IF(AND(G225="Карта",H225="Оплачено"),F225,"")</f>
      </c>
      <c r="K225" s="14">
        <f>IF(AND(G225="Карта",H225="Не оплачено"),F225,"")</f>
      </c>
      <c r="L225" s="13">
        <f>IF(AND(G225="Наличные",H225="Оплачено"),F225,"")</f>
      </c>
      <c r="M225" s="14">
        <f>IF(AND(G225="Наличные",H225="Не оплачено"),F225,"")</f>
      </c>
      <c r="N225" s="13">
        <f>IF(AND(G225="Терминал",H225="Оплачено"),F225,"")</f>
      </c>
      <c r="O225" s="14">
        <f>IF(AND(G225="Терминал",H225="Не оплачено"),F225,"")</f>
      </c>
      <c r="P225" s="13">
        <f>IF(AND(G225="Перечисление",H225="Оплачено"),F225,"")</f>
      </c>
      <c r="Q225" s="14">
        <f>IF(AND(G225="Перечисление",H225="Не оплачено"),F225,"")</f>
      </c>
    </row>
    <row r="226">
      <c r="A226" s="9">
        <v>223</v>
      </c>
      <c r="B226" s="7"/>
      <c r="C226" s="6"/>
      <c r="D226" s="8"/>
      <c r="E226" s="8"/>
      <c r="F226" s="4"/>
      <c r="G226" s="8"/>
      <c r="H226" s="8"/>
      <c r="I226" s="8"/>
      <c r="J226" s="13">
        <f>IF(AND(G226="Карта",H226="Оплачено"),F226,"")</f>
      </c>
      <c r="K226" s="14">
        <f>IF(AND(G226="Карта",H226="Не оплачено"),F226,"")</f>
      </c>
      <c r="L226" s="13">
        <f>IF(AND(G226="Наличные",H226="Оплачено"),F226,"")</f>
      </c>
      <c r="M226" s="14">
        <f>IF(AND(G226="Наличные",H226="Не оплачено"),F226,"")</f>
      </c>
      <c r="N226" s="13">
        <f>IF(AND(G226="Терминал",H226="Оплачено"),F226,"")</f>
      </c>
      <c r="O226" s="14">
        <f>IF(AND(G226="Терминал",H226="Не оплачено"),F226,"")</f>
      </c>
      <c r="P226" s="13">
        <f>IF(AND(G226="Перечисление",H226="Оплачено"),F226,"")</f>
      </c>
      <c r="Q226" s="14">
        <f>IF(AND(G226="Перечисление",H226="Не оплачено"),F226,"")</f>
      </c>
    </row>
    <row r="227">
      <c r="A227" s="9">
        <v>224</v>
      </c>
      <c r="B227" s="7"/>
      <c r="C227" s="6"/>
      <c r="D227" s="8"/>
      <c r="E227" s="8"/>
      <c r="F227" s="4"/>
      <c r="G227" s="8"/>
      <c r="H227" s="8"/>
      <c r="I227" s="8"/>
      <c r="J227" s="13">
        <f>IF(AND(G227="Карта",H227="Оплачено"),F227,"")</f>
      </c>
      <c r="K227" s="14">
        <f>IF(AND(G227="Карта",H227="Не оплачено"),F227,"")</f>
      </c>
      <c r="L227" s="13">
        <f>IF(AND(G227="Наличные",H227="Оплачено"),F227,"")</f>
      </c>
      <c r="M227" s="14">
        <f>IF(AND(G227="Наличные",H227="Не оплачено"),F227,"")</f>
      </c>
      <c r="N227" s="13">
        <f>IF(AND(G227="Терминал",H227="Оплачено"),F227,"")</f>
      </c>
      <c r="O227" s="14">
        <f>IF(AND(G227="Терминал",H227="Не оплачено"),F227,"")</f>
      </c>
      <c r="P227" s="13">
        <f>IF(AND(G227="Перечисление",H227="Оплачено"),F227,"")</f>
      </c>
      <c r="Q227" s="14">
        <f>IF(AND(G227="Перечисление",H227="Не оплачено"),F227,"")</f>
      </c>
    </row>
    <row r="228">
      <c r="A228" s="9">
        <v>225</v>
      </c>
      <c r="B228" s="7"/>
      <c r="C228" s="6"/>
      <c r="D228" s="8"/>
      <c r="E228" s="8"/>
      <c r="F228" s="4"/>
      <c r="G228" s="8"/>
      <c r="H228" s="8"/>
      <c r="I228" s="8"/>
      <c r="J228" s="13">
        <f>IF(AND(G228="Карта",H228="Оплачено"),F228,"")</f>
      </c>
      <c r="K228" s="14">
        <f>IF(AND(G228="Карта",H228="Не оплачено"),F228,"")</f>
      </c>
      <c r="L228" s="13">
        <f>IF(AND(G228="Наличные",H228="Оплачено"),F228,"")</f>
      </c>
      <c r="M228" s="14">
        <f>IF(AND(G228="Наличные",H228="Не оплачено"),F228,"")</f>
      </c>
      <c r="N228" s="13">
        <f>IF(AND(G228="Терминал",H228="Оплачено"),F228,"")</f>
      </c>
      <c r="O228" s="14">
        <f>IF(AND(G228="Терминал",H228="Не оплачено"),F228,"")</f>
      </c>
      <c r="P228" s="13">
        <f>IF(AND(G228="Перечисление",H228="Оплачено"),F228,"")</f>
      </c>
      <c r="Q228" s="14">
        <f>IF(AND(G228="Перечисление",H228="Не оплачено"),F228,"")</f>
      </c>
    </row>
    <row r="229">
      <c r="A229" s="9">
        <v>226</v>
      </c>
      <c r="B229" s="7"/>
      <c r="C229" s="6"/>
      <c r="D229" s="8"/>
      <c r="E229" s="8"/>
      <c r="F229" s="4"/>
      <c r="G229" s="8"/>
      <c r="H229" s="8"/>
      <c r="I229" s="8"/>
      <c r="J229" s="13">
        <f>IF(AND(G229="Карта",H229="Оплачено"),F229,"")</f>
      </c>
      <c r="K229" s="14">
        <f>IF(AND(G229="Карта",H229="Не оплачено"),F229,"")</f>
      </c>
      <c r="L229" s="13">
        <f>IF(AND(G229="Наличные",H229="Оплачено"),F229,"")</f>
      </c>
      <c r="M229" s="14">
        <f>IF(AND(G229="Наличные",H229="Не оплачено"),F229,"")</f>
      </c>
      <c r="N229" s="13">
        <f>IF(AND(G229="Терминал",H229="Оплачено"),F229,"")</f>
      </c>
      <c r="O229" s="14">
        <f>IF(AND(G229="Терминал",H229="Не оплачено"),F229,"")</f>
      </c>
      <c r="P229" s="13">
        <f>IF(AND(G229="Перечисление",H229="Оплачено"),F229,"")</f>
      </c>
      <c r="Q229" s="14">
        <f>IF(AND(G229="Перечисление",H229="Не оплачено"),F229,"")</f>
      </c>
    </row>
    <row r="230">
      <c r="A230" s="9">
        <v>227</v>
      </c>
      <c r="B230" s="7"/>
      <c r="C230" s="6"/>
      <c r="D230" s="8"/>
      <c r="E230" s="8"/>
      <c r="F230" s="4"/>
      <c r="G230" s="8"/>
      <c r="H230" s="8"/>
      <c r="I230" s="8"/>
      <c r="J230" s="13">
        <f>IF(AND(G230="Карта",H230="Оплачено"),F230,"")</f>
      </c>
      <c r="K230" s="14">
        <f>IF(AND(G230="Карта",H230="Не оплачено"),F230,"")</f>
      </c>
      <c r="L230" s="13">
        <f>IF(AND(G230="Наличные",H230="Оплачено"),F230,"")</f>
      </c>
      <c r="M230" s="14">
        <f>IF(AND(G230="Наличные",H230="Не оплачено"),F230,"")</f>
      </c>
      <c r="N230" s="13">
        <f>IF(AND(G230="Терминал",H230="Оплачено"),F230,"")</f>
      </c>
      <c r="O230" s="14">
        <f>IF(AND(G230="Терминал",H230="Не оплачено"),F230,"")</f>
      </c>
      <c r="P230" s="13">
        <f>IF(AND(G230="Перечисление",H230="Оплачено"),F230,"")</f>
      </c>
      <c r="Q230" s="14">
        <f>IF(AND(G230="Перечисление",H230="Не оплачено"),F230,"")</f>
      </c>
    </row>
    <row r="231">
      <c r="A231" s="9">
        <v>228</v>
      </c>
      <c r="B231" s="7"/>
      <c r="C231" s="6"/>
      <c r="D231" s="8"/>
      <c r="E231" s="8"/>
      <c r="F231" s="4"/>
      <c r="G231" s="8"/>
      <c r="H231" s="8"/>
      <c r="I231" s="8"/>
      <c r="J231" s="13">
        <f>IF(AND(G231="Карта",H231="Оплачено"),F231,"")</f>
      </c>
      <c r="K231" s="14">
        <f>IF(AND(G231="Карта",H231="Не оплачено"),F231,"")</f>
      </c>
      <c r="L231" s="13">
        <f>IF(AND(G231="Наличные",H231="Оплачено"),F231,"")</f>
      </c>
      <c r="M231" s="14">
        <f>IF(AND(G231="Наличные",H231="Не оплачено"),F231,"")</f>
      </c>
      <c r="N231" s="13">
        <f>IF(AND(G231="Терминал",H231="Оплачено"),F231,"")</f>
      </c>
      <c r="O231" s="14">
        <f>IF(AND(G231="Терминал",H231="Не оплачено"),F231,"")</f>
      </c>
      <c r="P231" s="13">
        <f>IF(AND(G231="Перечисление",H231="Оплачено"),F231,"")</f>
      </c>
      <c r="Q231" s="14">
        <f>IF(AND(G231="Перечисление",H231="Не оплачено"),F231,"")</f>
      </c>
    </row>
    <row r="232">
      <c r="A232" s="9">
        <v>229</v>
      </c>
      <c r="B232" s="7"/>
      <c r="C232" s="6"/>
      <c r="D232" s="8"/>
      <c r="E232" s="8"/>
      <c r="F232" s="4"/>
      <c r="G232" s="8"/>
      <c r="H232" s="8"/>
      <c r="I232" s="8"/>
      <c r="J232" s="13">
        <f>IF(AND(G232="Карта",H232="Оплачено"),F232,"")</f>
      </c>
      <c r="K232" s="14">
        <f>IF(AND(G232="Карта",H232="Не оплачено"),F232,"")</f>
      </c>
      <c r="L232" s="13">
        <f>IF(AND(G232="Наличные",H232="Оплачено"),F232,"")</f>
      </c>
      <c r="M232" s="14">
        <f>IF(AND(G232="Наличные",H232="Не оплачено"),F232,"")</f>
      </c>
      <c r="N232" s="13">
        <f>IF(AND(G232="Терминал",H232="Оплачено"),F232,"")</f>
      </c>
      <c r="O232" s="14">
        <f>IF(AND(G232="Терминал",H232="Не оплачено"),F232,"")</f>
      </c>
      <c r="P232" s="13">
        <f>IF(AND(G232="Перечисление",H232="Оплачено"),F232,"")</f>
      </c>
      <c r="Q232" s="14">
        <f>IF(AND(G232="Перечисление",H232="Не оплачено"),F232,"")</f>
      </c>
    </row>
    <row r="233">
      <c r="A233" s="9">
        <v>230</v>
      </c>
      <c r="B233" s="7"/>
      <c r="C233" s="6"/>
      <c r="D233" s="8"/>
      <c r="E233" s="8"/>
      <c r="F233" s="4"/>
      <c r="G233" s="8"/>
      <c r="H233" s="8"/>
      <c r="I233" s="8"/>
      <c r="J233" s="13">
        <f>IF(AND(G233="Карта",H233="Оплачено"),F233,"")</f>
      </c>
      <c r="K233" s="14">
        <f>IF(AND(G233="Карта",H233="Не оплачено"),F233,"")</f>
      </c>
      <c r="L233" s="13">
        <f>IF(AND(G233="Наличные",H233="Оплачено"),F233,"")</f>
      </c>
      <c r="M233" s="14">
        <f>IF(AND(G233="Наличные",H233="Не оплачено"),F233,"")</f>
      </c>
      <c r="N233" s="13">
        <f>IF(AND(G233="Терминал",H233="Оплачено"),F233,"")</f>
      </c>
      <c r="O233" s="14">
        <f>IF(AND(G233="Терминал",H233="Не оплачено"),F233,"")</f>
      </c>
      <c r="P233" s="13">
        <f>IF(AND(G233="Перечисление",H233="Оплачено"),F233,"")</f>
      </c>
      <c r="Q233" s="14">
        <f>IF(AND(G233="Перечисление",H233="Не оплачено"),F233,"")</f>
      </c>
    </row>
    <row r="234">
      <c r="A234" s="9">
        <v>231</v>
      </c>
      <c r="B234" s="7"/>
      <c r="C234" s="6"/>
      <c r="D234" s="8"/>
      <c r="E234" s="8"/>
      <c r="F234" s="4"/>
      <c r="G234" s="8"/>
      <c r="H234" s="8"/>
      <c r="I234" s="8"/>
      <c r="J234" s="13">
        <f>IF(AND(G234="Карта",H234="Оплачено"),F234,"")</f>
      </c>
      <c r="K234" s="14">
        <f>IF(AND(G234="Карта",H234="Не оплачено"),F234,"")</f>
      </c>
      <c r="L234" s="13">
        <f>IF(AND(G234="Наличные",H234="Оплачено"),F234,"")</f>
      </c>
      <c r="M234" s="14">
        <f>IF(AND(G234="Наличные",H234="Не оплачено"),F234,"")</f>
      </c>
      <c r="N234" s="13">
        <f>IF(AND(G234="Терминал",H234="Оплачено"),F234,"")</f>
      </c>
      <c r="O234" s="14">
        <f>IF(AND(G234="Терминал",H234="Не оплачено"),F234,"")</f>
      </c>
      <c r="P234" s="13">
        <f>IF(AND(G234="Перечисление",H234="Оплачено"),F234,"")</f>
      </c>
      <c r="Q234" s="14">
        <f>IF(AND(G234="Перечисление",H234="Не оплачено"),F234,"")</f>
      </c>
    </row>
    <row r="235">
      <c r="A235" s="9">
        <v>232</v>
      </c>
      <c r="B235" s="7"/>
      <c r="C235" s="6"/>
      <c r="D235" s="8"/>
      <c r="E235" s="8"/>
      <c r="F235" s="4"/>
      <c r="G235" s="8"/>
      <c r="H235" s="8"/>
      <c r="I235" s="8"/>
      <c r="J235" s="13">
        <f>IF(AND(G235="Карта",H235="Оплачено"),F235,"")</f>
      </c>
      <c r="K235" s="14">
        <f>IF(AND(G235="Карта",H235="Не оплачено"),F235,"")</f>
      </c>
      <c r="L235" s="13">
        <f>IF(AND(G235="Наличные",H235="Оплачено"),F235,"")</f>
      </c>
      <c r="M235" s="14">
        <f>IF(AND(G235="Наличные",H235="Не оплачено"),F235,"")</f>
      </c>
      <c r="N235" s="13">
        <f>IF(AND(G235="Терминал",H235="Оплачено"),F235,"")</f>
      </c>
      <c r="O235" s="14">
        <f>IF(AND(G235="Терминал",H235="Не оплачено"),F235,"")</f>
      </c>
      <c r="P235" s="13">
        <f>IF(AND(G235="Перечисление",H235="Оплачено"),F235,"")</f>
      </c>
      <c r="Q235" s="14">
        <f>IF(AND(G235="Перечисление",H235="Не оплачено"),F235,"")</f>
      </c>
    </row>
    <row r="236">
      <c r="A236" s="9">
        <v>233</v>
      </c>
      <c r="B236" s="7"/>
      <c r="C236" s="6"/>
      <c r="D236" s="8"/>
      <c r="E236" s="8"/>
      <c r="F236" s="4"/>
      <c r="G236" s="8"/>
      <c r="H236" s="8"/>
      <c r="I236" s="8"/>
      <c r="J236" s="13">
        <f>IF(AND(G236="Карта",H236="Оплачено"),F236,"")</f>
      </c>
      <c r="K236" s="14">
        <f>IF(AND(G236="Карта",H236="Не оплачено"),F236,"")</f>
      </c>
      <c r="L236" s="13">
        <f>IF(AND(G236="Наличные",H236="Оплачено"),F236,"")</f>
      </c>
      <c r="M236" s="14">
        <f>IF(AND(G236="Наличные",H236="Не оплачено"),F236,"")</f>
      </c>
      <c r="N236" s="13">
        <f>IF(AND(G236="Терминал",H236="Оплачено"),F236,"")</f>
      </c>
      <c r="O236" s="14">
        <f>IF(AND(G236="Терминал",H236="Не оплачено"),F236,"")</f>
      </c>
      <c r="P236" s="13">
        <f>IF(AND(G236="Перечисление",H236="Оплачено"),F236,"")</f>
      </c>
      <c r="Q236" s="14">
        <f>IF(AND(G236="Перечисление",H236="Не оплачено"),F236,"")</f>
      </c>
    </row>
    <row r="237">
      <c r="A237" s="9">
        <v>234</v>
      </c>
      <c r="B237" s="7"/>
      <c r="C237" s="6"/>
      <c r="D237" s="8"/>
      <c r="E237" s="8"/>
      <c r="F237" s="4"/>
      <c r="G237" s="8"/>
      <c r="H237" s="8"/>
      <c r="I237" s="8"/>
      <c r="J237" s="13">
        <f>IF(AND(G237="Карта",H237="Оплачено"),F237,"")</f>
      </c>
      <c r="K237" s="14">
        <f>IF(AND(G237="Карта",H237="Не оплачено"),F237,"")</f>
      </c>
      <c r="L237" s="13">
        <f>IF(AND(G237="Наличные",H237="Оплачено"),F237,"")</f>
      </c>
      <c r="M237" s="14">
        <f>IF(AND(G237="Наличные",H237="Не оплачено"),F237,"")</f>
      </c>
      <c r="N237" s="13">
        <f>IF(AND(G237="Терминал",H237="Оплачено"),F237,"")</f>
      </c>
      <c r="O237" s="14">
        <f>IF(AND(G237="Терминал",H237="Не оплачено"),F237,"")</f>
      </c>
      <c r="P237" s="13">
        <f>IF(AND(G237="Перечисление",H237="Оплачено"),F237,"")</f>
      </c>
      <c r="Q237" s="14">
        <f>IF(AND(G237="Перечисление",H237="Не оплачено"),F237,"")</f>
      </c>
    </row>
    <row r="238">
      <c r="A238" s="9">
        <v>235</v>
      </c>
      <c r="B238" s="7"/>
      <c r="C238" s="6"/>
      <c r="D238" s="8"/>
      <c r="E238" s="8"/>
      <c r="F238" s="4"/>
      <c r="G238" s="8"/>
      <c r="H238" s="8"/>
      <c r="I238" s="8"/>
      <c r="J238" s="13">
        <f>IF(AND(G238="Карта",H238="Оплачено"),F238,"")</f>
      </c>
      <c r="K238" s="14">
        <f>IF(AND(G238="Карта",H238="Не оплачено"),F238,"")</f>
      </c>
      <c r="L238" s="13">
        <f>IF(AND(G238="Наличные",H238="Оплачено"),F238,"")</f>
      </c>
      <c r="M238" s="14">
        <f>IF(AND(G238="Наличные",H238="Не оплачено"),F238,"")</f>
      </c>
      <c r="N238" s="13">
        <f>IF(AND(G238="Терминал",H238="Оплачено"),F238,"")</f>
      </c>
      <c r="O238" s="14">
        <f>IF(AND(G238="Терминал",H238="Не оплачено"),F238,"")</f>
      </c>
      <c r="P238" s="13">
        <f>IF(AND(G238="Перечисление",H238="Оплачено"),F238,"")</f>
      </c>
      <c r="Q238" s="14">
        <f>IF(AND(G238="Перечисление",H238="Не оплачено"),F238,"")</f>
      </c>
    </row>
    <row r="239">
      <c r="A239" s="9">
        <v>236</v>
      </c>
      <c r="B239" s="7"/>
      <c r="C239" s="6"/>
      <c r="D239" s="8"/>
      <c r="E239" s="8"/>
      <c r="F239" s="4"/>
      <c r="G239" s="8"/>
      <c r="H239" s="8"/>
      <c r="I239" s="8"/>
      <c r="J239" s="13">
        <f>IF(AND(G239="Карта",H239="Оплачено"),F239,"")</f>
      </c>
      <c r="K239" s="14">
        <f>IF(AND(G239="Карта",H239="Не оплачено"),F239,"")</f>
      </c>
      <c r="L239" s="13">
        <f>IF(AND(G239="Наличные",H239="Оплачено"),F239,"")</f>
      </c>
      <c r="M239" s="14">
        <f>IF(AND(G239="Наличные",H239="Не оплачено"),F239,"")</f>
      </c>
      <c r="N239" s="13">
        <f>IF(AND(G239="Терминал",H239="Оплачено"),F239,"")</f>
      </c>
      <c r="O239" s="14">
        <f>IF(AND(G239="Терминал",H239="Не оплачено"),F239,"")</f>
      </c>
      <c r="P239" s="13">
        <f>IF(AND(G239="Перечисление",H239="Оплачено"),F239,"")</f>
      </c>
      <c r="Q239" s="14">
        <f>IF(AND(G239="Перечисление",H239="Не оплачено"),F239,"")</f>
      </c>
    </row>
    <row r="240">
      <c r="A240" s="9">
        <v>237</v>
      </c>
      <c r="B240" s="7"/>
      <c r="C240" s="6"/>
      <c r="D240" s="8"/>
      <c r="E240" s="8"/>
      <c r="F240" s="4"/>
      <c r="G240" s="8"/>
      <c r="H240" s="8"/>
      <c r="I240" s="8"/>
      <c r="J240" s="13">
        <f>IF(AND(G240="Карта",H240="Оплачено"),F240,"")</f>
      </c>
      <c r="K240" s="14">
        <f>IF(AND(G240="Карта",H240="Не оплачено"),F240,"")</f>
      </c>
      <c r="L240" s="13">
        <f>IF(AND(G240="Наличные",H240="Оплачено"),F240,"")</f>
      </c>
      <c r="M240" s="14">
        <f>IF(AND(G240="Наличные",H240="Не оплачено"),F240,"")</f>
      </c>
      <c r="N240" s="13">
        <f>IF(AND(G240="Терминал",H240="Оплачено"),F240,"")</f>
      </c>
      <c r="O240" s="14">
        <f>IF(AND(G240="Терминал",H240="Не оплачено"),F240,"")</f>
      </c>
      <c r="P240" s="13">
        <f>IF(AND(G240="Перечисление",H240="Оплачено"),F240,"")</f>
      </c>
      <c r="Q240" s="14">
        <f>IF(AND(G240="Перечисление",H240="Не оплачено"),F240,"")</f>
      </c>
    </row>
    <row r="241">
      <c r="A241" s="9">
        <v>238</v>
      </c>
      <c r="B241" s="7"/>
      <c r="C241" s="6"/>
      <c r="D241" s="8"/>
      <c r="E241" s="8"/>
      <c r="F241" s="4"/>
      <c r="G241" s="8"/>
      <c r="H241" s="8"/>
      <c r="I241" s="8"/>
      <c r="J241" s="13">
        <f>IF(AND(G241="Карта",H241="Оплачено"),F241,"")</f>
      </c>
      <c r="K241" s="14">
        <f>IF(AND(G241="Карта",H241="Не оплачено"),F241,"")</f>
      </c>
      <c r="L241" s="13">
        <f>IF(AND(G241="Наличные",H241="Оплачено"),F241,"")</f>
      </c>
      <c r="M241" s="14">
        <f>IF(AND(G241="Наличные",H241="Не оплачено"),F241,"")</f>
      </c>
      <c r="N241" s="13">
        <f>IF(AND(G241="Терминал",H241="Оплачено"),F241,"")</f>
      </c>
      <c r="O241" s="14">
        <f>IF(AND(G241="Терминал",H241="Не оплачено"),F241,"")</f>
      </c>
      <c r="P241" s="13">
        <f>IF(AND(G241="Перечисление",H241="Оплачено"),F241,"")</f>
      </c>
      <c r="Q241" s="14">
        <f>IF(AND(G241="Перечисление",H241="Не оплачено"),F241,"")</f>
      </c>
    </row>
    <row r="242">
      <c r="A242" s="9">
        <v>239</v>
      </c>
      <c r="B242" s="7"/>
      <c r="C242" s="6"/>
      <c r="D242" s="8"/>
      <c r="E242" s="8"/>
      <c r="F242" s="4"/>
      <c r="G242" s="8"/>
      <c r="H242" s="8"/>
      <c r="I242" s="8"/>
      <c r="J242" s="13">
        <f>IF(AND(G242="Карта",H242="Оплачено"),F242,"")</f>
      </c>
      <c r="K242" s="14">
        <f>IF(AND(G242="Карта",H242="Не оплачено"),F242,"")</f>
      </c>
      <c r="L242" s="13">
        <f>IF(AND(G242="Наличные",H242="Оплачено"),F242,"")</f>
      </c>
      <c r="M242" s="14">
        <f>IF(AND(G242="Наличные",H242="Не оплачено"),F242,"")</f>
      </c>
      <c r="N242" s="13">
        <f>IF(AND(G242="Терминал",H242="Оплачено"),F242,"")</f>
      </c>
      <c r="O242" s="14">
        <f>IF(AND(G242="Терминал",H242="Не оплачено"),F242,"")</f>
      </c>
      <c r="P242" s="13">
        <f>IF(AND(G242="Перечисление",H242="Оплачено"),F242,"")</f>
      </c>
      <c r="Q242" s="14">
        <f>IF(AND(G242="Перечисление",H242="Не оплачено"),F242,"")</f>
      </c>
    </row>
    <row r="243">
      <c r="A243" s="9">
        <v>240</v>
      </c>
      <c r="B243" s="7"/>
      <c r="C243" s="6"/>
      <c r="D243" s="8"/>
      <c r="E243" s="8"/>
      <c r="F243" s="4"/>
      <c r="G243" s="8"/>
      <c r="H243" s="8"/>
      <c r="I243" s="8"/>
      <c r="J243" s="13">
        <f>IF(AND(G243="Карта",H243="Оплачено"),F243,"")</f>
      </c>
      <c r="K243" s="14">
        <f>IF(AND(G243="Карта",H243="Не оплачено"),F243,"")</f>
      </c>
      <c r="L243" s="13">
        <f>IF(AND(G243="Наличные",H243="Оплачено"),F243,"")</f>
      </c>
      <c r="M243" s="14">
        <f>IF(AND(G243="Наличные",H243="Не оплачено"),F243,"")</f>
      </c>
      <c r="N243" s="13">
        <f>IF(AND(G243="Терминал",H243="Оплачено"),F243,"")</f>
      </c>
      <c r="O243" s="14">
        <f>IF(AND(G243="Терминал",H243="Не оплачено"),F243,"")</f>
      </c>
      <c r="P243" s="13">
        <f>IF(AND(G243="Перечисление",H243="Оплачено"),F243,"")</f>
      </c>
      <c r="Q243" s="14">
        <f>IF(AND(G243="Перечисление",H243="Не оплачено"),F243,"")</f>
      </c>
    </row>
    <row r="244">
      <c r="A244" s="9">
        <v>241</v>
      </c>
      <c r="B244" s="7"/>
      <c r="C244" s="6"/>
      <c r="D244" s="8"/>
      <c r="E244" s="8"/>
      <c r="F244" s="4"/>
      <c r="G244" s="8"/>
      <c r="H244" s="8"/>
      <c r="I244" s="8"/>
      <c r="J244" s="13">
        <f>IF(AND(G244="Карта",H244="Оплачено"),F244,"")</f>
      </c>
      <c r="K244" s="14">
        <f>IF(AND(G244="Карта",H244="Не оплачено"),F244,"")</f>
      </c>
      <c r="L244" s="13">
        <f>IF(AND(G244="Наличные",H244="Оплачено"),F244,"")</f>
      </c>
      <c r="M244" s="14">
        <f>IF(AND(G244="Наличные",H244="Не оплачено"),F244,"")</f>
      </c>
      <c r="N244" s="13">
        <f>IF(AND(G244="Терминал",H244="Оплачено"),F244,"")</f>
      </c>
      <c r="O244" s="14">
        <f>IF(AND(G244="Терминал",H244="Не оплачено"),F244,"")</f>
      </c>
      <c r="P244" s="13">
        <f>IF(AND(G244="Перечисление",H244="Оплачено"),F244,"")</f>
      </c>
      <c r="Q244" s="14">
        <f>IF(AND(G244="Перечисление",H244="Не оплачено"),F244,"")</f>
      </c>
    </row>
    <row r="245">
      <c r="A245" s="9">
        <v>242</v>
      </c>
      <c r="B245" s="7"/>
      <c r="C245" s="6"/>
      <c r="D245" s="8"/>
      <c r="E245" s="8"/>
      <c r="F245" s="4"/>
      <c r="G245" s="8"/>
      <c r="H245" s="8"/>
      <c r="I245" s="8"/>
      <c r="J245" s="13">
        <f>IF(AND(G245="Карта",H245="Оплачено"),F245,"")</f>
      </c>
      <c r="K245" s="14">
        <f>IF(AND(G245="Карта",H245="Не оплачено"),F245,"")</f>
      </c>
      <c r="L245" s="13">
        <f>IF(AND(G245="Наличные",H245="Оплачено"),F245,"")</f>
      </c>
      <c r="M245" s="14">
        <f>IF(AND(G245="Наличные",H245="Не оплачено"),F245,"")</f>
      </c>
      <c r="N245" s="13">
        <f>IF(AND(G245="Терминал",H245="Оплачено"),F245,"")</f>
      </c>
      <c r="O245" s="14">
        <f>IF(AND(G245="Терминал",H245="Не оплачено"),F245,"")</f>
      </c>
      <c r="P245" s="13">
        <f>IF(AND(G245="Перечисление",H245="Оплачено"),F245,"")</f>
      </c>
      <c r="Q245" s="14">
        <f>IF(AND(G245="Перечисление",H245="Не оплачено"),F245,"")</f>
      </c>
    </row>
    <row r="246">
      <c r="A246" s="9">
        <v>243</v>
      </c>
      <c r="B246" s="7"/>
      <c r="C246" s="6"/>
      <c r="D246" s="8"/>
      <c r="E246" s="8"/>
      <c r="F246" s="4"/>
      <c r="G246" s="8"/>
      <c r="H246" s="8"/>
      <c r="I246" s="8"/>
      <c r="J246" s="13">
        <f>IF(AND(G246="Карта",H246="Оплачено"),F246,"")</f>
      </c>
      <c r="K246" s="14">
        <f>IF(AND(G246="Карта",H246="Не оплачено"),F246,"")</f>
      </c>
      <c r="L246" s="13">
        <f>IF(AND(G246="Наличные",H246="Оплачено"),F246,"")</f>
      </c>
      <c r="M246" s="14">
        <f>IF(AND(G246="Наличные",H246="Не оплачено"),F246,"")</f>
      </c>
      <c r="N246" s="13">
        <f>IF(AND(G246="Терминал",H246="Оплачено"),F246,"")</f>
      </c>
      <c r="O246" s="14">
        <f>IF(AND(G246="Терминал",H246="Не оплачено"),F246,"")</f>
      </c>
      <c r="P246" s="13">
        <f>IF(AND(G246="Перечисление",H246="Оплачено"),F246,"")</f>
      </c>
      <c r="Q246" s="14">
        <f>IF(AND(G246="Перечисление",H246="Не оплачено"),F246,"")</f>
      </c>
    </row>
    <row r="247">
      <c r="A247" s="9">
        <v>244</v>
      </c>
      <c r="B247" s="7"/>
      <c r="C247" s="6"/>
      <c r="D247" s="8"/>
      <c r="E247" s="8"/>
      <c r="F247" s="4"/>
      <c r="G247" s="8"/>
      <c r="H247" s="8"/>
      <c r="I247" s="8"/>
      <c r="J247" s="13">
        <f>IF(AND(G247="Карта",H247="Оплачено"),F247,"")</f>
      </c>
      <c r="K247" s="14">
        <f>IF(AND(G247="Карта",H247="Не оплачено"),F247,"")</f>
      </c>
      <c r="L247" s="13">
        <f>IF(AND(G247="Наличные",H247="Оплачено"),F247,"")</f>
      </c>
      <c r="M247" s="14">
        <f>IF(AND(G247="Наличные",H247="Не оплачено"),F247,"")</f>
      </c>
      <c r="N247" s="13">
        <f>IF(AND(G247="Терминал",H247="Оплачено"),F247,"")</f>
      </c>
      <c r="O247" s="14">
        <f>IF(AND(G247="Терминал",H247="Не оплачено"),F247,"")</f>
      </c>
      <c r="P247" s="13">
        <f>IF(AND(G247="Перечисление",H247="Оплачено"),F247,"")</f>
      </c>
      <c r="Q247" s="14">
        <f>IF(AND(G247="Перечисление",H247="Не оплачено"),F247,"")</f>
      </c>
    </row>
    <row r="248">
      <c r="A248" s="9">
        <v>245</v>
      </c>
      <c r="B248" s="7"/>
      <c r="C248" s="6"/>
      <c r="D248" s="8"/>
      <c r="E248" s="8"/>
      <c r="F248" s="4"/>
      <c r="G248" s="8"/>
      <c r="H248" s="8"/>
      <c r="I248" s="8"/>
      <c r="J248" s="13">
        <f>IF(AND(G248="Карта",H248="Оплачено"),F248,"")</f>
      </c>
      <c r="K248" s="14">
        <f>IF(AND(G248="Карта",H248="Не оплачено"),F248,"")</f>
      </c>
      <c r="L248" s="13">
        <f>IF(AND(G248="Наличные",H248="Оплачено"),F248,"")</f>
      </c>
      <c r="M248" s="14">
        <f>IF(AND(G248="Наличные",H248="Не оплачено"),F248,"")</f>
      </c>
      <c r="N248" s="13">
        <f>IF(AND(G248="Терминал",H248="Оплачено"),F248,"")</f>
      </c>
      <c r="O248" s="14">
        <f>IF(AND(G248="Терминал",H248="Не оплачено"),F248,"")</f>
      </c>
      <c r="P248" s="13">
        <f>IF(AND(G248="Перечисление",H248="Оплачено"),F248,"")</f>
      </c>
      <c r="Q248" s="14">
        <f>IF(AND(G248="Перечисление",H248="Не оплачено"),F248,"")</f>
      </c>
    </row>
    <row r="249">
      <c r="A249" s="9">
        <v>246</v>
      </c>
      <c r="B249" s="7"/>
      <c r="C249" s="6"/>
      <c r="D249" s="8"/>
      <c r="E249" s="8"/>
      <c r="F249" s="4"/>
      <c r="G249" s="8"/>
      <c r="H249" s="8"/>
      <c r="I249" s="8"/>
      <c r="J249" s="13">
        <f>IF(AND(G249="Карта",H249="Оплачено"),F249,"")</f>
      </c>
      <c r="K249" s="14">
        <f>IF(AND(G249="Карта",H249="Не оплачено"),F249,"")</f>
      </c>
      <c r="L249" s="13">
        <f>IF(AND(G249="Наличные",H249="Оплачено"),F249,"")</f>
      </c>
      <c r="M249" s="14">
        <f>IF(AND(G249="Наличные",H249="Не оплачено"),F249,"")</f>
      </c>
      <c r="N249" s="13">
        <f>IF(AND(G249="Терминал",H249="Оплачено"),F249,"")</f>
      </c>
      <c r="O249" s="14">
        <f>IF(AND(G249="Терминал",H249="Не оплачено"),F249,"")</f>
      </c>
      <c r="P249" s="13">
        <f>IF(AND(G249="Перечисление",H249="Оплачено"),F249,"")</f>
      </c>
      <c r="Q249" s="14">
        <f>IF(AND(G249="Перечисление",H249="Не оплачено"),F249,"")</f>
      </c>
    </row>
    <row r="250">
      <c r="A250" s="9">
        <v>247</v>
      </c>
      <c r="B250" s="7"/>
      <c r="C250" s="6"/>
      <c r="D250" s="8"/>
      <c r="E250" s="8"/>
      <c r="F250" s="4"/>
      <c r="G250" s="8"/>
      <c r="H250" s="8"/>
      <c r="I250" s="8"/>
      <c r="J250" s="13">
        <f>IF(AND(G250="Карта",H250="Оплачено"),F250,"")</f>
      </c>
      <c r="K250" s="14">
        <f>IF(AND(G250="Карта",H250="Не оплачено"),F250,"")</f>
      </c>
      <c r="L250" s="13">
        <f>IF(AND(G250="Наличные",H250="Оплачено"),F250,"")</f>
      </c>
      <c r="M250" s="14">
        <f>IF(AND(G250="Наличные",H250="Не оплачено"),F250,"")</f>
      </c>
      <c r="N250" s="13">
        <f>IF(AND(G250="Терминал",H250="Оплачено"),F250,"")</f>
      </c>
      <c r="O250" s="14">
        <f>IF(AND(G250="Терминал",H250="Не оплачено"),F250,"")</f>
      </c>
      <c r="P250" s="13">
        <f>IF(AND(G250="Перечисление",H250="Оплачено"),F250,"")</f>
      </c>
      <c r="Q250" s="14">
        <f>IF(AND(G250="Перечисление",H250="Не оплачено"),F250,"")</f>
      </c>
    </row>
    <row r="251">
      <c r="A251" s="9">
        <v>248</v>
      </c>
      <c r="B251" s="7"/>
      <c r="C251" s="6"/>
      <c r="D251" s="8"/>
      <c r="E251" s="8"/>
      <c r="F251" s="4"/>
      <c r="G251" s="8"/>
      <c r="H251" s="8"/>
      <c r="I251" s="8"/>
      <c r="J251" s="13">
        <f>IF(AND(G251="Карта",H251="Оплачено"),F251,"")</f>
      </c>
      <c r="K251" s="14">
        <f>IF(AND(G251="Карта",H251="Не оплачено"),F251,"")</f>
      </c>
      <c r="L251" s="13">
        <f>IF(AND(G251="Наличные",H251="Оплачено"),F251,"")</f>
      </c>
      <c r="M251" s="14">
        <f>IF(AND(G251="Наличные",H251="Не оплачено"),F251,"")</f>
      </c>
      <c r="N251" s="13">
        <f>IF(AND(G251="Терминал",H251="Оплачено"),F251,"")</f>
      </c>
      <c r="O251" s="14">
        <f>IF(AND(G251="Терминал",H251="Не оплачено"),F251,"")</f>
      </c>
      <c r="P251" s="13">
        <f>IF(AND(G251="Перечисление",H251="Оплачено"),F251,"")</f>
      </c>
      <c r="Q251" s="14">
        <f>IF(AND(G251="Перечисление",H251="Не оплачено"),F251,"")</f>
      </c>
    </row>
    <row r="252">
      <c r="A252" s="9">
        <v>249</v>
      </c>
      <c r="B252" s="7"/>
      <c r="C252" s="6"/>
      <c r="D252" s="8"/>
      <c r="E252" s="8"/>
      <c r="F252" s="4"/>
      <c r="G252" s="8"/>
      <c r="H252" s="8"/>
      <c r="I252" s="8"/>
      <c r="J252" s="13">
        <f>IF(AND(G252="Карта",H252="Оплачено"),F252,"")</f>
      </c>
      <c r="K252" s="14">
        <f>IF(AND(G252="Карта",H252="Не оплачено"),F252,"")</f>
      </c>
      <c r="L252" s="13">
        <f>IF(AND(G252="Наличные",H252="Оплачено"),F252,"")</f>
      </c>
      <c r="M252" s="14">
        <f>IF(AND(G252="Наличные",H252="Не оплачено"),F252,"")</f>
      </c>
      <c r="N252" s="13">
        <f>IF(AND(G252="Терминал",H252="Оплачено"),F252,"")</f>
      </c>
      <c r="O252" s="14">
        <f>IF(AND(G252="Терминал",H252="Не оплачено"),F252,"")</f>
      </c>
      <c r="P252" s="13">
        <f>IF(AND(G252="Перечисление",H252="Оплачено"),F252,"")</f>
      </c>
      <c r="Q252" s="14">
        <f>IF(AND(G252="Перечисление",H252="Не оплачено"),F252,"")</f>
      </c>
    </row>
    <row r="253">
      <c r="A253" s="9">
        <v>250</v>
      </c>
      <c r="B253" s="7"/>
      <c r="C253" s="6"/>
      <c r="D253" s="8"/>
      <c r="E253" s="8"/>
      <c r="F253" s="4"/>
      <c r="G253" s="8"/>
      <c r="H253" s="8"/>
      <c r="I253" s="8"/>
      <c r="J253" s="13">
        <f>IF(AND(G253="Карта",H253="Оплачено"),F253,"")</f>
      </c>
      <c r="K253" s="14">
        <f>IF(AND(G253="Карта",H253="Не оплачено"),F253,"")</f>
      </c>
      <c r="L253" s="13">
        <f>IF(AND(G253="Наличные",H253="Оплачено"),F253,"")</f>
      </c>
      <c r="M253" s="14">
        <f>IF(AND(G253="Наличные",H253="Не оплачено"),F253,"")</f>
      </c>
      <c r="N253" s="13">
        <f>IF(AND(G253="Терминал",H253="Оплачено"),F253,"")</f>
      </c>
      <c r="O253" s="14">
        <f>IF(AND(G253="Терминал",H253="Не оплачено"),F253,"")</f>
      </c>
      <c r="P253" s="13">
        <f>IF(AND(G253="Перечисление",H253="Оплачено"),F253,"")</f>
      </c>
      <c r="Q253" s="14">
        <f>IF(AND(G253="Перечисление",H253="Не оплачено"),F253,"")</f>
      </c>
    </row>
    <row r="254">
      <c r="A254" s="9">
        <v>251</v>
      </c>
      <c r="B254" s="7"/>
      <c r="C254" s="6"/>
      <c r="D254" s="8"/>
      <c r="E254" s="8"/>
      <c r="F254" s="4"/>
      <c r="G254" s="8"/>
      <c r="H254" s="8"/>
      <c r="I254" s="8"/>
      <c r="J254" s="13">
        <f>IF(AND(G254="Карта",H254="Оплачено"),F254,"")</f>
      </c>
      <c r="K254" s="14">
        <f>IF(AND(G254="Карта",H254="Не оплачено"),F254,"")</f>
      </c>
      <c r="L254" s="13">
        <f>IF(AND(G254="Наличные",H254="Оплачено"),F254,"")</f>
      </c>
      <c r="M254" s="14">
        <f>IF(AND(G254="Наличные",H254="Не оплачено"),F254,"")</f>
      </c>
      <c r="N254" s="13">
        <f>IF(AND(G254="Терминал",H254="Оплачено"),F254,"")</f>
      </c>
      <c r="O254" s="14">
        <f>IF(AND(G254="Терминал",H254="Не оплачено"),F254,"")</f>
      </c>
      <c r="P254" s="13">
        <f>IF(AND(G254="Перечисление",H254="Оплачено"),F254,"")</f>
      </c>
      <c r="Q254" s="14">
        <f>IF(AND(G254="Перечисление",H254="Не оплачено"),F254,"")</f>
      </c>
    </row>
    <row r="255">
      <c r="A255" s="9">
        <v>252</v>
      </c>
      <c r="B255" s="7"/>
      <c r="C255" s="6"/>
      <c r="D255" s="8"/>
      <c r="E255" s="8"/>
      <c r="F255" s="4"/>
      <c r="G255" s="8"/>
      <c r="H255" s="8"/>
      <c r="I255" s="8"/>
      <c r="J255" s="13">
        <f>IF(AND(G255="Карта",H255="Оплачено"),F255,"")</f>
      </c>
      <c r="K255" s="14">
        <f>IF(AND(G255="Карта",H255="Не оплачено"),F255,"")</f>
      </c>
      <c r="L255" s="13">
        <f>IF(AND(G255="Наличные",H255="Оплачено"),F255,"")</f>
      </c>
      <c r="M255" s="14">
        <f>IF(AND(G255="Наличные",H255="Не оплачено"),F255,"")</f>
      </c>
      <c r="N255" s="13">
        <f>IF(AND(G255="Терминал",H255="Оплачено"),F255,"")</f>
      </c>
      <c r="O255" s="14">
        <f>IF(AND(G255="Терминал",H255="Не оплачено"),F255,"")</f>
      </c>
      <c r="P255" s="13">
        <f>IF(AND(G255="Перечисление",H255="Оплачено"),F255,"")</f>
      </c>
      <c r="Q255" s="14">
        <f>IF(AND(G255="Перечисление",H255="Не оплачено"),F255,"")</f>
      </c>
    </row>
    <row r="256">
      <c r="A256" s="9">
        <v>253</v>
      </c>
      <c r="B256" s="7"/>
      <c r="C256" s="6"/>
      <c r="D256" s="8"/>
      <c r="E256" s="8"/>
      <c r="F256" s="4"/>
      <c r="G256" s="8"/>
      <c r="H256" s="8"/>
      <c r="I256" s="8"/>
      <c r="J256" s="13">
        <f>IF(AND(G256="Карта",H256="Оплачено"),F256,"")</f>
      </c>
      <c r="K256" s="14">
        <f>IF(AND(G256="Карта",H256="Не оплачено"),F256,"")</f>
      </c>
      <c r="L256" s="13">
        <f>IF(AND(G256="Наличные",H256="Оплачено"),F256,"")</f>
      </c>
      <c r="M256" s="14">
        <f>IF(AND(G256="Наличные",H256="Не оплачено"),F256,"")</f>
      </c>
      <c r="N256" s="13">
        <f>IF(AND(G256="Терминал",H256="Оплачено"),F256,"")</f>
      </c>
      <c r="O256" s="14">
        <f>IF(AND(G256="Терминал",H256="Не оплачено"),F256,"")</f>
      </c>
      <c r="P256" s="13">
        <f>IF(AND(G256="Перечисление",H256="Оплачено"),F256,"")</f>
      </c>
      <c r="Q256" s="14">
        <f>IF(AND(G256="Перечисление",H256="Не оплачено"),F256,"")</f>
      </c>
    </row>
    <row r="257">
      <c r="A257" s="9">
        <v>254</v>
      </c>
      <c r="B257" s="7"/>
      <c r="C257" s="6"/>
      <c r="D257" s="8"/>
      <c r="E257" s="8"/>
      <c r="F257" s="4"/>
      <c r="G257" s="8"/>
      <c r="H257" s="8"/>
      <c r="I257" s="8"/>
      <c r="J257" s="13">
        <f>IF(AND(G257="Карта",H257="Оплачено"),F257,"")</f>
      </c>
      <c r="K257" s="14">
        <f>IF(AND(G257="Карта",H257="Не оплачено"),F257,"")</f>
      </c>
      <c r="L257" s="13">
        <f>IF(AND(G257="Наличные",H257="Оплачено"),F257,"")</f>
      </c>
      <c r="M257" s="14">
        <f>IF(AND(G257="Наличные",H257="Не оплачено"),F257,"")</f>
      </c>
      <c r="N257" s="13">
        <f>IF(AND(G257="Терминал",H257="Оплачено"),F257,"")</f>
      </c>
      <c r="O257" s="14">
        <f>IF(AND(G257="Терминал",H257="Не оплачено"),F257,"")</f>
      </c>
      <c r="P257" s="13">
        <f>IF(AND(G257="Перечисление",H257="Оплачено"),F257,"")</f>
      </c>
      <c r="Q257" s="14">
        <f>IF(AND(G257="Перечисление",H257="Не оплачено"),F257,"")</f>
      </c>
    </row>
    <row r="258">
      <c r="A258" s="9">
        <v>255</v>
      </c>
      <c r="B258" s="7"/>
      <c r="C258" s="6"/>
      <c r="D258" s="8"/>
      <c r="E258" s="8"/>
      <c r="F258" s="4"/>
      <c r="G258" s="8"/>
      <c r="H258" s="8"/>
      <c r="I258" s="8"/>
      <c r="J258" s="13">
        <f>IF(AND(G258="Карта",H258="Оплачено"),F258,"")</f>
      </c>
      <c r="K258" s="14">
        <f>IF(AND(G258="Карта",H258="Не оплачено"),F258,"")</f>
      </c>
      <c r="L258" s="13">
        <f>IF(AND(G258="Наличные",H258="Оплачено"),F258,"")</f>
      </c>
      <c r="M258" s="14">
        <f>IF(AND(G258="Наличные",H258="Не оплачено"),F258,"")</f>
      </c>
      <c r="N258" s="13">
        <f>IF(AND(G258="Терминал",H258="Оплачено"),F258,"")</f>
      </c>
      <c r="O258" s="14">
        <f>IF(AND(G258="Терминал",H258="Не оплачено"),F258,"")</f>
      </c>
      <c r="P258" s="13">
        <f>IF(AND(G258="Перечисление",H258="Оплачено"),F258,"")</f>
      </c>
      <c r="Q258" s="14">
        <f>IF(AND(G258="Перечисление",H258="Не оплачено"),F258,"")</f>
      </c>
    </row>
    <row r="259">
      <c r="A259" s="9">
        <v>256</v>
      </c>
      <c r="B259" s="7"/>
      <c r="C259" s="6"/>
      <c r="D259" s="8"/>
      <c r="E259" s="8"/>
      <c r="F259" s="4"/>
      <c r="G259" s="8"/>
      <c r="H259" s="8"/>
      <c r="I259" s="8"/>
      <c r="J259" s="13">
        <f>IF(AND(G259="Карта",H259="Оплачено"),F259,"")</f>
      </c>
      <c r="K259" s="14">
        <f>IF(AND(G259="Карта",H259="Не оплачено"),F259,"")</f>
      </c>
      <c r="L259" s="13">
        <f>IF(AND(G259="Наличные",H259="Оплачено"),F259,"")</f>
      </c>
      <c r="M259" s="14">
        <f>IF(AND(G259="Наличные",H259="Не оплачено"),F259,"")</f>
      </c>
      <c r="N259" s="13">
        <f>IF(AND(G259="Терминал",H259="Оплачено"),F259,"")</f>
      </c>
      <c r="O259" s="14">
        <f>IF(AND(G259="Терминал",H259="Не оплачено"),F259,"")</f>
      </c>
      <c r="P259" s="13">
        <f>IF(AND(G259="Перечисление",H259="Оплачено"),F259,"")</f>
      </c>
      <c r="Q259" s="14">
        <f>IF(AND(G259="Перечисление",H259="Не оплачено"),F259,"")</f>
      </c>
    </row>
    <row r="260">
      <c r="A260" s="9">
        <v>257</v>
      </c>
      <c r="B260" s="7"/>
      <c r="C260" s="6"/>
      <c r="D260" s="8"/>
      <c r="E260" s="8"/>
      <c r="F260" s="4"/>
      <c r="G260" s="8"/>
      <c r="H260" s="8"/>
      <c r="I260" s="8"/>
      <c r="J260" s="13">
        <f>IF(AND(G260="Карта",H260="Оплачено"),F260,"")</f>
      </c>
      <c r="K260" s="14">
        <f>IF(AND(G260="Карта",H260="Не оплачено"),F260,"")</f>
      </c>
      <c r="L260" s="13">
        <f>IF(AND(G260="Наличные",H260="Оплачено"),F260,"")</f>
      </c>
      <c r="M260" s="14">
        <f>IF(AND(G260="Наличные",H260="Не оплачено"),F260,"")</f>
      </c>
      <c r="N260" s="13">
        <f>IF(AND(G260="Терминал",H260="Оплачено"),F260,"")</f>
      </c>
      <c r="O260" s="14">
        <f>IF(AND(G260="Терминал",H260="Не оплачено"),F260,"")</f>
      </c>
      <c r="P260" s="13">
        <f>IF(AND(G260="Перечисление",H260="Оплачено"),F260,"")</f>
      </c>
      <c r="Q260" s="14">
        <f>IF(AND(G260="Перечисление",H260="Не оплачено"),F260,"")</f>
      </c>
    </row>
    <row r="261">
      <c r="A261" s="9">
        <v>258</v>
      </c>
      <c r="B261" s="7"/>
      <c r="C261" s="6"/>
      <c r="D261" s="8"/>
      <c r="E261" s="8"/>
      <c r="F261" s="4"/>
      <c r="G261" s="8"/>
      <c r="H261" s="8"/>
      <c r="I261" s="8"/>
      <c r="J261" s="13">
        <f>IF(AND(G261="Карта",H261="Оплачено"),F261,"")</f>
      </c>
      <c r="K261" s="14">
        <f>IF(AND(G261="Карта",H261="Не оплачено"),F261,"")</f>
      </c>
      <c r="L261" s="13">
        <f>IF(AND(G261="Наличные",H261="Оплачено"),F261,"")</f>
      </c>
      <c r="M261" s="14">
        <f>IF(AND(G261="Наличные",H261="Не оплачено"),F261,"")</f>
      </c>
      <c r="N261" s="13">
        <f>IF(AND(G261="Терминал",H261="Оплачено"),F261,"")</f>
      </c>
      <c r="O261" s="14">
        <f>IF(AND(G261="Терминал",H261="Не оплачено"),F261,"")</f>
      </c>
      <c r="P261" s="13">
        <f>IF(AND(G261="Перечисление",H261="Оплачено"),F261,"")</f>
      </c>
      <c r="Q261" s="14">
        <f>IF(AND(G261="Перечисление",H261="Не оплачено"),F261,"")</f>
      </c>
    </row>
    <row r="262">
      <c r="A262" s="9">
        <v>259</v>
      </c>
      <c r="B262" s="7"/>
      <c r="C262" s="6"/>
      <c r="D262" s="8"/>
      <c r="E262" s="8"/>
      <c r="F262" s="4"/>
      <c r="G262" s="8"/>
      <c r="H262" s="8"/>
      <c r="I262" s="8"/>
      <c r="J262" s="13">
        <f>IF(AND(G262="Карта",H262="Оплачено"),F262,"")</f>
      </c>
      <c r="K262" s="14">
        <f>IF(AND(G262="Карта",H262="Не оплачено"),F262,"")</f>
      </c>
      <c r="L262" s="13">
        <f>IF(AND(G262="Наличные",H262="Оплачено"),F262,"")</f>
      </c>
      <c r="M262" s="14">
        <f>IF(AND(G262="Наличные",H262="Не оплачено"),F262,"")</f>
      </c>
      <c r="N262" s="13">
        <f>IF(AND(G262="Терминал",H262="Оплачено"),F262,"")</f>
      </c>
      <c r="O262" s="14">
        <f>IF(AND(G262="Терминал",H262="Не оплачено"),F262,"")</f>
      </c>
      <c r="P262" s="13">
        <f>IF(AND(G262="Перечисление",H262="Оплачено"),F262,"")</f>
      </c>
      <c r="Q262" s="14">
        <f>IF(AND(G262="Перечисление",H262="Не оплачено"),F262,"")</f>
      </c>
    </row>
    <row r="263">
      <c r="A263" s="9">
        <v>260</v>
      </c>
      <c r="B263" s="7"/>
      <c r="C263" s="6"/>
      <c r="D263" s="8"/>
      <c r="E263" s="8"/>
      <c r="F263" s="4"/>
      <c r="G263" s="8"/>
      <c r="H263" s="8"/>
      <c r="I263" s="8"/>
      <c r="J263" s="13">
        <f>IF(AND(G263="Карта",H263="Оплачено"),F263,"")</f>
      </c>
      <c r="K263" s="14">
        <f>IF(AND(G263="Карта",H263="Не оплачено"),F263,"")</f>
      </c>
      <c r="L263" s="13">
        <f>IF(AND(G263="Наличные",H263="Оплачено"),F263,"")</f>
      </c>
      <c r="M263" s="14">
        <f>IF(AND(G263="Наличные",H263="Не оплачено"),F263,"")</f>
      </c>
      <c r="N263" s="13">
        <f>IF(AND(G263="Терминал",H263="Оплачено"),F263,"")</f>
      </c>
      <c r="O263" s="14">
        <f>IF(AND(G263="Терминал",H263="Не оплачено"),F263,"")</f>
      </c>
      <c r="P263" s="13">
        <f>IF(AND(G263="Перечисление",H263="Оплачено"),F263,"")</f>
      </c>
      <c r="Q263" s="14">
        <f>IF(AND(G263="Перечисление",H263="Не оплачено"),F263,"")</f>
      </c>
    </row>
    <row r="264">
      <c r="A264" s="9">
        <v>261</v>
      </c>
      <c r="B264" s="7"/>
      <c r="C264" s="6"/>
      <c r="D264" s="8"/>
      <c r="E264" s="8"/>
      <c r="F264" s="4"/>
      <c r="G264" s="8"/>
      <c r="H264" s="8"/>
      <c r="I264" s="8"/>
      <c r="J264" s="13">
        <f>IF(AND(G264="Карта",H264="Оплачено"),F264,"")</f>
      </c>
      <c r="K264" s="14">
        <f>IF(AND(G264="Карта",H264="Не оплачено"),F264,"")</f>
      </c>
      <c r="L264" s="13">
        <f>IF(AND(G264="Наличные",H264="Оплачено"),F264,"")</f>
      </c>
      <c r="M264" s="14">
        <f>IF(AND(G264="Наличные",H264="Не оплачено"),F264,"")</f>
      </c>
      <c r="N264" s="13">
        <f>IF(AND(G264="Терминал",H264="Оплачено"),F264,"")</f>
      </c>
      <c r="O264" s="14">
        <f>IF(AND(G264="Терминал",H264="Не оплачено"),F264,"")</f>
      </c>
      <c r="P264" s="13">
        <f>IF(AND(G264="Перечисление",H264="Оплачено"),F264,"")</f>
      </c>
      <c r="Q264" s="14">
        <f>IF(AND(G264="Перечисление",H264="Не оплачено"),F264,"")</f>
      </c>
    </row>
    <row r="265">
      <c r="A265" s="9">
        <v>262</v>
      </c>
      <c r="B265" s="7"/>
      <c r="C265" s="6"/>
      <c r="D265" s="8"/>
      <c r="E265" s="8"/>
      <c r="F265" s="4"/>
      <c r="G265" s="8"/>
      <c r="H265" s="8"/>
      <c r="I265" s="8"/>
      <c r="J265" s="13">
        <f>IF(AND(G265="Карта",H265="Оплачено"),F265,"")</f>
      </c>
      <c r="K265" s="14">
        <f>IF(AND(G265="Карта",H265="Не оплачено"),F265,"")</f>
      </c>
      <c r="L265" s="13">
        <f>IF(AND(G265="Наличные",H265="Оплачено"),F265,"")</f>
      </c>
      <c r="M265" s="14">
        <f>IF(AND(G265="Наличные",H265="Не оплачено"),F265,"")</f>
      </c>
      <c r="N265" s="13">
        <f>IF(AND(G265="Терминал",H265="Оплачено"),F265,"")</f>
      </c>
      <c r="O265" s="14">
        <f>IF(AND(G265="Терминал",H265="Не оплачено"),F265,"")</f>
      </c>
      <c r="P265" s="13">
        <f>IF(AND(G265="Перечисление",H265="Оплачено"),F265,"")</f>
      </c>
      <c r="Q265" s="14">
        <f>IF(AND(G265="Перечисление",H265="Не оплачено"),F265,"")</f>
      </c>
    </row>
    <row r="266">
      <c r="A266" s="9">
        <v>263</v>
      </c>
      <c r="B266" s="7"/>
      <c r="C266" s="6"/>
      <c r="D266" s="8"/>
      <c r="E266" s="8"/>
      <c r="F266" s="4"/>
      <c r="G266" s="8"/>
      <c r="H266" s="8"/>
      <c r="I266" s="8"/>
      <c r="J266" s="13">
        <f>IF(AND(G266="Карта",H266="Оплачено"),F266,"")</f>
      </c>
      <c r="K266" s="14">
        <f>IF(AND(G266="Карта",H266="Не оплачено"),F266,"")</f>
      </c>
      <c r="L266" s="13">
        <f>IF(AND(G266="Наличные",H266="Оплачено"),F266,"")</f>
      </c>
      <c r="M266" s="14">
        <f>IF(AND(G266="Наличные",H266="Не оплачено"),F266,"")</f>
      </c>
      <c r="N266" s="13">
        <f>IF(AND(G266="Терминал",H266="Оплачено"),F266,"")</f>
      </c>
      <c r="O266" s="14">
        <f>IF(AND(G266="Терминал",H266="Не оплачено"),F266,"")</f>
      </c>
      <c r="P266" s="13">
        <f>IF(AND(G266="Перечисление",H266="Оплачено"),F266,"")</f>
      </c>
      <c r="Q266" s="14">
        <f>IF(AND(G266="Перечисление",H266="Не оплачено"),F266,"")</f>
      </c>
    </row>
    <row r="267">
      <c r="A267" s="9">
        <v>264</v>
      </c>
      <c r="B267" s="7"/>
      <c r="C267" s="6"/>
      <c r="D267" s="8"/>
      <c r="E267" s="8"/>
      <c r="F267" s="4"/>
      <c r="G267" s="8"/>
      <c r="H267" s="8"/>
      <c r="I267" s="8"/>
      <c r="J267" s="13">
        <f>IF(AND(G267="Карта",H267="Оплачено"),F267,"")</f>
      </c>
      <c r="K267" s="14">
        <f>IF(AND(G267="Карта",H267="Не оплачено"),F267,"")</f>
      </c>
      <c r="L267" s="13">
        <f>IF(AND(G267="Наличные",H267="Оплачено"),F267,"")</f>
      </c>
      <c r="M267" s="14">
        <f>IF(AND(G267="Наличные",H267="Не оплачено"),F267,"")</f>
      </c>
      <c r="N267" s="13">
        <f>IF(AND(G267="Терминал",H267="Оплачено"),F267,"")</f>
      </c>
      <c r="O267" s="14">
        <f>IF(AND(G267="Терминал",H267="Не оплачено"),F267,"")</f>
      </c>
      <c r="P267" s="13">
        <f>IF(AND(G267="Перечисление",H267="Оплачено"),F267,"")</f>
      </c>
      <c r="Q267" s="14">
        <f>IF(AND(G267="Перечисление",H267="Не оплачено"),F267,"")</f>
      </c>
    </row>
    <row r="268">
      <c r="A268" s="9">
        <v>265</v>
      </c>
      <c r="B268" s="7"/>
      <c r="C268" s="6"/>
      <c r="D268" s="8"/>
      <c r="E268" s="8"/>
      <c r="F268" s="4"/>
      <c r="G268" s="8"/>
      <c r="H268" s="8"/>
      <c r="I268" s="8"/>
      <c r="J268" s="13">
        <f>IF(AND(G268="Карта",H268="Оплачено"),F268,"")</f>
      </c>
      <c r="K268" s="14">
        <f>IF(AND(G268="Карта",H268="Не оплачено"),F268,"")</f>
      </c>
      <c r="L268" s="13">
        <f>IF(AND(G268="Наличные",H268="Оплачено"),F268,"")</f>
      </c>
      <c r="M268" s="14">
        <f>IF(AND(G268="Наличные",H268="Не оплачено"),F268,"")</f>
      </c>
      <c r="N268" s="13">
        <f>IF(AND(G268="Терминал",H268="Оплачено"),F268,"")</f>
      </c>
      <c r="O268" s="14">
        <f>IF(AND(G268="Терминал",H268="Не оплачено"),F268,"")</f>
      </c>
      <c r="P268" s="13">
        <f>IF(AND(G268="Перечисление",H268="Оплачено"),F268,"")</f>
      </c>
      <c r="Q268" s="14">
        <f>IF(AND(G268="Перечисление",H268="Не оплачено"),F268,"")</f>
      </c>
    </row>
    <row r="269">
      <c r="A269" s="9">
        <v>266</v>
      </c>
      <c r="B269" s="7"/>
      <c r="C269" s="6"/>
      <c r="D269" s="8"/>
      <c r="E269" s="8"/>
      <c r="F269" s="4"/>
      <c r="G269" s="8"/>
      <c r="H269" s="8"/>
      <c r="I269" s="8"/>
      <c r="J269" s="13">
        <f>IF(AND(G269="Карта",H269="Оплачено"),F269,"")</f>
      </c>
      <c r="K269" s="14">
        <f>IF(AND(G269="Карта",H269="Не оплачено"),F269,"")</f>
      </c>
      <c r="L269" s="13">
        <f>IF(AND(G269="Наличные",H269="Оплачено"),F269,"")</f>
      </c>
      <c r="M269" s="14">
        <f>IF(AND(G269="Наличные",H269="Не оплачено"),F269,"")</f>
      </c>
      <c r="N269" s="13">
        <f>IF(AND(G269="Терминал",H269="Оплачено"),F269,"")</f>
      </c>
      <c r="O269" s="14">
        <f>IF(AND(G269="Терминал",H269="Не оплачено"),F269,"")</f>
      </c>
      <c r="P269" s="13">
        <f>IF(AND(G269="Перечисление",H269="Оплачено"),F269,"")</f>
      </c>
      <c r="Q269" s="14">
        <f>IF(AND(G269="Перечисление",H269="Не оплачено"),F269,"")</f>
      </c>
    </row>
    <row r="270">
      <c r="A270" s="9">
        <v>267</v>
      </c>
      <c r="B270" s="7"/>
      <c r="C270" s="6"/>
      <c r="D270" s="8"/>
      <c r="E270" s="8"/>
      <c r="F270" s="4"/>
      <c r="G270" s="8"/>
      <c r="H270" s="8"/>
      <c r="I270" s="8"/>
      <c r="J270" s="13">
        <f>IF(AND(G270="Карта",H270="Оплачено"),F270,"")</f>
      </c>
      <c r="K270" s="14">
        <f>IF(AND(G270="Карта",H270="Не оплачено"),F270,"")</f>
      </c>
      <c r="L270" s="13">
        <f>IF(AND(G270="Наличные",H270="Оплачено"),F270,"")</f>
      </c>
      <c r="M270" s="14">
        <f>IF(AND(G270="Наличные",H270="Не оплачено"),F270,"")</f>
      </c>
      <c r="N270" s="13">
        <f>IF(AND(G270="Терминал",H270="Оплачено"),F270,"")</f>
      </c>
      <c r="O270" s="14">
        <f>IF(AND(G270="Терминал",H270="Не оплачено"),F270,"")</f>
      </c>
      <c r="P270" s="13">
        <f>IF(AND(G270="Перечисление",H270="Оплачено"),F270,"")</f>
      </c>
      <c r="Q270" s="14">
        <f>IF(AND(G270="Перечисление",H270="Не оплачено"),F270,"")</f>
      </c>
    </row>
    <row r="271">
      <c r="A271" s="9">
        <v>268</v>
      </c>
      <c r="B271" s="7"/>
      <c r="C271" s="6"/>
      <c r="D271" s="8"/>
      <c r="E271" s="8"/>
      <c r="F271" s="4"/>
      <c r="G271" s="8"/>
      <c r="H271" s="8"/>
      <c r="I271" s="8"/>
      <c r="J271" s="13">
        <f>IF(AND(G271="Карта",H271="Оплачено"),F271,"")</f>
      </c>
      <c r="K271" s="14">
        <f>IF(AND(G271="Карта",H271="Не оплачено"),F271,"")</f>
      </c>
      <c r="L271" s="13">
        <f>IF(AND(G271="Наличные",H271="Оплачено"),F271,"")</f>
      </c>
      <c r="M271" s="14">
        <f>IF(AND(G271="Наличные",H271="Не оплачено"),F271,"")</f>
      </c>
      <c r="N271" s="13">
        <f>IF(AND(G271="Терминал",H271="Оплачено"),F271,"")</f>
      </c>
      <c r="O271" s="14">
        <f>IF(AND(G271="Терминал",H271="Не оплачено"),F271,"")</f>
      </c>
      <c r="P271" s="13">
        <f>IF(AND(G271="Перечисление",H271="Оплачено"),F271,"")</f>
      </c>
      <c r="Q271" s="14">
        <f>IF(AND(G271="Перечисление",H271="Не оплачено"),F271,"")</f>
      </c>
    </row>
    <row r="272">
      <c r="A272" s="9">
        <v>269</v>
      </c>
      <c r="B272" s="7"/>
      <c r="C272" s="6"/>
      <c r="D272" s="8"/>
      <c r="E272" s="8"/>
      <c r="F272" s="4"/>
      <c r="G272" s="8"/>
      <c r="H272" s="8"/>
      <c r="I272" s="8"/>
      <c r="J272" s="13">
        <f>IF(AND(G272="Карта",H272="Оплачено"),F272,"")</f>
      </c>
      <c r="K272" s="14">
        <f>IF(AND(G272="Карта",H272="Не оплачено"),F272,"")</f>
      </c>
      <c r="L272" s="13">
        <f>IF(AND(G272="Наличные",H272="Оплачено"),F272,"")</f>
      </c>
      <c r="M272" s="14">
        <f>IF(AND(G272="Наличные",H272="Не оплачено"),F272,"")</f>
      </c>
      <c r="N272" s="13">
        <f>IF(AND(G272="Терминал",H272="Оплачено"),F272,"")</f>
      </c>
      <c r="O272" s="14">
        <f>IF(AND(G272="Терминал",H272="Не оплачено"),F272,"")</f>
      </c>
      <c r="P272" s="13">
        <f>IF(AND(G272="Перечисление",H272="Оплачено"),F272,"")</f>
      </c>
      <c r="Q272" s="14">
        <f>IF(AND(G272="Перечисление",H272="Не оплачено"),F272,"")</f>
      </c>
    </row>
    <row r="273">
      <c r="A273" s="9">
        <v>270</v>
      </c>
      <c r="B273" s="7"/>
      <c r="C273" s="6"/>
      <c r="D273" s="8"/>
      <c r="E273" s="8"/>
      <c r="F273" s="4"/>
      <c r="G273" s="8"/>
      <c r="H273" s="8"/>
      <c r="I273" s="8"/>
      <c r="J273" s="13">
        <f>IF(AND(G273="Карта",H273="Оплачено"),F273,"")</f>
      </c>
      <c r="K273" s="14">
        <f>IF(AND(G273="Карта",H273="Не оплачено"),F273,"")</f>
      </c>
      <c r="L273" s="13">
        <f>IF(AND(G273="Наличные",H273="Оплачено"),F273,"")</f>
      </c>
      <c r="M273" s="14">
        <f>IF(AND(G273="Наличные",H273="Не оплачено"),F273,"")</f>
      </c>
      <c r="N273" s="13">
        <f>IF(AND(G273="Терминал",H273="Оплачено"),F273,"")</f>
      </c>
      <c r="O273" s="14">
        <f>IF(AND(G273="Терминал",H273="Не оплачено"),F273,"")</f>
      </c>
      <c r="P273" s="13">
        <f>IF(AND(G273="Перечисление",H273="Оплачено"),F273,"")</f>
      </c>
      <c r="Q273" s="14">
        <f>IF(AND(G273="Перечисление",H273="Не оплачено"),F273,"")</f>
      </c>
    </row>
    <row r="274">
      <c r="A274" s="9">
        <v>271</v>
      </c>
      <c r="B274" s="7"/>
      <c r="C274" s="6"/>
      <c r="D274" s="8"/>
      <c r="E274" s="8"/>
      <c r="F274" s="4"/>
      <c r="G274" s="8"/>
      <c r="H274" s="8"/>
      <c r="I274" s="8"/>
      <c r="J274" s="13">
        <f>IF(AND(G274="Карта",H274="Оплачено"),F274,"")</f>
      </c>
      <c r="K274" s="14">
        <f>IF(AND(G274="Карта",H274="Не оплачено"),F274,"")</f>
      </c>
      <c r="L274" s="13">
        <f>IF(AND(G274="Наличные",H274="Оплачено"),F274,"")</f>
      </c>
      <c r="M274" s="14">
        <f>IF(AND(G274="Наличные",H274="Не оплачено"),F274,"")</f>
      </c>
      <c r="N274" s="13">
        <f>IF(AND(G274="Терминал",H274="Оплачено"),F274,"")</f>
      </c>
      <c r="O274" s="14">
        <f>IF(AND(G274="Терминал",H274="Не оплачено"),F274,"")</f>
      </c>
      <c r="P274" s="13">
        <f>IF(AND(G274="Перечисление",H274="Оплачено"),F274,"")</f>
      </c>
      <c r="Q274" s="14">
        <f>IF(AND(G274="Перечисление",H274="Не оплачено"),F274,"")</f>
      </c>
    </row>
    <row r="275">
      <c r="A275" s="9">
        <v>272</v>
      </c>
      <c r="B275" s="7"/>
      <c r="C275" s="6"/>
      <c r="D275" s="8"/>
      <c r="E275" s="8"/>
      <c r="F275" s="4"/>
      <c r="G275" s="8"/>
      <c r="H275" s="8"/>
      <c r="I275" s="8"/>
      <c r="J275" s="13">
        <f>IF(AND(G275="Карта",H275="Оплачено"),F275,"")</f>
      </c>
      <c r="K275" s="14">
        <f>IF(AND(G275="Карта",H275="Не оплачено"),F275,"")</f>
      </c>
      <c r="L275" s="13">
        <f>IF(AND(G275="Наличные",H275="Оплачено"),F275,"")</f>
      </c>
      <c r="M275" s="14">
        <f>IF(AND(G275="Наличные",H275="Не оплачено"),F275,"")</f>
      </c>
      <c r="N275" s="13">
        <f>IF(AND(G275="Терминал",H275="Оплачено"),F275,"")</f>
      </c>
      <c r="O275" s="14">
        <f>IF(AND(G275="Терминал",H275="Не оплачено"),F275,"")</f>
      </c>
      <c r="P275" s="13">
        <f>IF(AND(G275="Перечисление",H275="Оплачено"),F275,"")</f>
      </c>
      <c r="Q275" s="14">
        <f>IF(AND(G275="Перечисление",H275="Не оплачено"),F275,"")</f>
      </c>
    </row>
    <row r="276">
      <c r="A276" s="9">
        <v>273</v>
      </c>
      <c r="B276" s="7"/>
      <c r="C276" s="6"/>
      <c r="D276" s="8"/>
      <c r="E276" s="8"/>
      <c r="F276" s="4"/>
      <c r="G276" s="8"/>
      <c r="H276" s="8"/>
      <c r="I276" s="8"/>
      <c r="J276" s="13">
        <f>IF(AND(G276="Карта",H276="Оплачено"),F276,"")</f>
      </c>
      <c r="K276" s="14">
        <f>IF(AND(G276="Карта",H276="Не оплачено"),F276,"")</f>
      </c>
      <c r="L276" s="13">
        <f>IF(AND(G276="Наличные",H276="Оплачено"),F276,"")</f>
      </c>
      <c r="M276" s="14">
        <f>IF(AND(G276="Наличные",H276="Не оплачено"),F276,"")</f>
      </c>
      <c r="N276" s="13">
        <f>IF(AND(G276="Терминал",H276="Оплачено"),F276,"")</f>
      </c>
      <c r="O276" s="14">
        <f>IF(AND(G276="Терминал",H276="Не оплачено"),F276,"")</f>
      </c>
      <c r="P276" s="13">
        <f>IF(AND(G276="Перечисление",H276="Оплачено"),F276,"")</f>
      </c>
      <c r="Q276" s="14">
        <f>IF(AND(G276="Перечисление",H276="Не оплачено"),F276,"")</f>
      </c>
    </row>
    <row r="277">
      <c r="A277" s="9">
        <v>274</v>
      </c>
      <c r="B277" s="7"/>
      <c r="C277" s="6"/>
      <c r="D277" s="8"/>
      <c r="E277" s="8"/>
      <c r="F277" s="4"/>
      <c r="G277" s="8"/>
      <c r="H277" s="8"/>
      <c r="I277" s="8"/>
      <c r="J277" s="13">
        <f>IF(AND(G277="Карта",H277="Оплачено"),F277,"")</f>
      </c>
      <c r="K277" s="14">
        <f>IF(AND(G277="Карта",H277="Не оплачено"),F277,"")</f>
      </c>
      <c r="L277" s="13">
        <f>IF(AND(G277="Наличные",H277="Оплачено"),F277,"")</f>
      </c>
      <c r="M277" s="14">
        <f>IF(AND(G277="Наличные",H277="Не оплачено"),F277,"")</f>
      </c>
      <c r="N277" s="13">
        <f>IF(AND(G277="Терминал",H277="Оплачено"),F277,"")</f>
      </c>
      <c r="O277" s="14">
        <f>IF(AND(G277="Терминал",H277="Не оплачено"),F277,"")</f>
      </c>
      <c r="P277" s="13">
        <f>IF(AND(G277="Перечисление",H277="Оплачено"),F277,"")</f>
      </c>
      <c r="Q277" s="14">
        <f>IF(AND(G277="Перечисление",H277="Не оплачено"),F277,"")</f>
      </c>
    </row>
    <row r="278">
      <c r="A278" s="9">
        <v>275</v>
      </c>
      <c r="B278" s="7"/>
      <c r="C278" s="6"/>
      <c r="D278" s="8"/>
      <c r="E278" s="8"/>
      <c r="F278" s="4"/>
      <c r="G278" s="8"/>
      <c r="H278" s="8"/>
      <c r="I278" s="8"/>
      <c r="J278" s="13">
        <f>IF(AND(G278="Карта",H278="Оплачено"),F278,"")</f>
      </c>
      <c r="K278" s="14">
        <f>IF(AND(G278="Карта",H278="Не оплачено"),F278,"")</f>
      </c>
      <c r="L278" s="13">
        <f>IF(AND(G278="Наличные",H278="Оплачено"),F278,"")</f>
      </c>
      <c r="M278" s="14">
        <f>IF(AND(G278="Наличные",H278="Не оплачено"),F278,"")</f>
      </c>
      <c r="N278" s="13">
        <f>IF(AND(G278="Терминал",H278="Оплачено"),F278,"")</f>
      </c>
      <c r="O278" s="14">
        <f>IF(AND(G278="Терминал",H278="Не оплачено"),F278,"")</f>
      </c>
      <c r="P278" s="13">
        <f>IF(AND(G278="Перечисление",H278="Оплачено"),F278,"")</f>
      </c>
      <c r="Q278" s="14">
        <f>IF(AND(G278="Перечисление",H278="Не оплачено"),F278,"")</f>
      </c>
    </row>
    <row r="279">
      <c r="A279" s="9">
        <v>276</v>
      </c>
      <c r="B279" s="7"/>
      <c r="C279" s="6"/>
      <c r="D279" s="8"/>
      <c r="E279" s="8"/>
      <c r="F279" s="4"/>
      <c r="G279" s="8"/>
      <c r="H279" s="8"/>
      <c r="I279" s="8"/>
      <c r="J279" s="13">
        <f>IF(AND(G279="Карта",H279="Оплачено"),F279,"")</f>
      </c>
      <c r="K279" s="14">
        <f>IF(AND(G279="Карта",H279="Не оплачено"),F279,"")</f>
      </c>
      <c r="L279" s="13">
        <f>IF(AND(G279="Наличные",H279="Оплачено"),F279,"")</f>
      </c>
      <c r="M279" s="14">
        <f>IF(AND(G279="Наличные",H279="Не оплачено"),F279,"")</f>
      </c>
      <c r="N279" s="13">
        <f>IF(AND(G279="Терминал",H279="Оплачено"),F279,"")</f>
      </c>
      <c r="O279" s="14">
        <f>IF(AND(G279="Терминал",H279="Не оплачено"),F279,"")</f>
      </c>
      <c r="P279" s="13">
        <f>IF(AND(G279="Перечисление",H279="Оплачено"),F279,"")</f>
      </c>
      <c r="Q279" s="14">
        <f>IF(AND(G279="Перечисление",H279="Не оплачено"),F279,"")</f>
      </c>
    </row>
    <row r="280">
      <c r="A280" s="9">
        <v>277</v>
      </c>
      <c r="B280" s="7"/>
      <c r="C280" s="6"/>
      <c r="D280" s="8"/>
      <c r="E280" s="8"/>
      <c r="F280" s="4"/>
      <c r="G280" s="8"/>
      <c r="H280" s="8"/>
      <c r="I280" s="8"/>
      <c r="J280" s="13">
        <f>IF(AND(G280="Карта",H280="Оплачено"),F280,"")</f>
      </c>
      <c r="K280" s="14">
        <f>IF(AND(G280="Карта",H280="Не оплачено"),F280,"")</f>
      </c>
      <c r="L280" s="13">
        <f>IF(AND(G280="Наличные",H280="Оплачено"),F280,"")</f>
      </c>
      <c r="M280" s="14">
        <f>IF(AND(G280="Наличные",H280="Не оплачено"),F280,"")</f>
      </c>
      <c r="N280" s="13">
        <f>IF(AND(G280="Терминал",H280="Оплачено"),F280,"")</f>
      </c>
      <c r="O280" s="14">
        <f>IF(AND(G280="Терминал",H280="Не оплачено"),F280,"")</f>
      </c>
      <c r="P280" s="13">
        <f>IF(AND(G280="Перечисление",H280="Оплачено"),F280,"")</f>
      </c>
      <c r="Q280" s="14">
        <f>IF(AND(G280="Перечисление",H280="Не оплачено"),F280,"")</f>
      </c>
    </row>
    <row r="281">
      <c r="A281" s="9">
        <v>278</v>
      </c>
      <c r="B281" s="7"/>
      <c r="C281" s="6"/>
      <c r="D281" s="8"/>
      <c r="E281" s="8"/>
      <c r="F281" s="4"/>
      <c r="G281" s="8"/>
      <c r="H281" s="8"/>
      <c r="I281" s="8"/>
      <c r="J281" s="13">
        <f>IF(AND(G281="Карта",H281="Оплачено"),F281,"")</f>
      </c>
      <c r="K281" s="14">
        <f>IF(AND(G281="Карта",H281="Не оплачено"),F281,"")</f>
      </c>
      <c r="L281" s="13">
        <f>IF(AND(G281="Наличные",H281="Оплачено"),F281,"")</f>
      </c>
      <c r="M281" s="14">
        <f>IF(AND(G281="Наличные",H281="Не оплачено"),F281,"")</f>
      </c>
      <c r="N281" s="13">
        <f>IF(AND(G281="Терминал",H281="Оплачено"),F281,"")</f>
      </c>
      <c r="O281" s="14">
        <f>IF(AND(G281="Терминал",H281="Не оплачено"),F281,"")</f>
      </c>
      <c r="P281" s="13">
        <f>IF(AND(G281="Перечисление",H281="Оплачено"),F281,"")</f>
      </c>
      <c r="Q281" s="14">
        <f>IF(AND(G281="Перечисление",H281="Не оплачено"),F281,"")</f>
      </c>
    </row>
    <row r="282">
      <c r="A282" s="9">
        <v>279</v>
      </c>
      <c r="B282" s="7"/>
      <c r="C282" s="6"/>
      <c r="D282" s="8"/>
      <c r="E282" s="8"/>
      <c r="F282" s="4"/>
      <c r="G282" s="8"/>
      <c r="H282" s="8"/>
      <c r="I282" s="8"/>
      <c r="J282" s="13">
        <f>IF(AND(G282="Карта",H282="Оплачено"),F282,"")</f>
      </c>
      <c r="K282" s="14">
        <f>IF(AND(G282="Карта",H282="Не оплачено"),F282,"")</f>
      </c>
      <c r="L282" s="13">
        <f>IF(AND(G282="Наличные",H282="Оплачено"),F282,"")</f>
      </c>
      <c r="M282" s="14">
        <f>IF(AND(G282="Наличные",H282="Не оплачено"),F282,"")</f>
      </c>
      <c r="N282" s="13">
        <f>IF(AND(G282="Терминал",H282="Оплачено"),F282,"")</f>
      </c>
      <c r="O282" s="14">
        <f>IF(AND(G282="Терминал",H282="Не оплачено"),F282,"")</f>
      </c>
      <c r="P282" s="13">
        <f>IF(AND(G282="Перечисление",H282="Оплачено"),F282,"")</f>
      </c>
      <c r="Q282" s="14">
        <f>IF(AND(G282="Перечисление",H282="Не оплачено"),F282,"")</f>
      </c>
    </row>
    <row r="283">
      <c r="A283" s="9">
        <v>280</v>
      </c>
      <c r="B283" s="7"/>
      <c r="C283" s="6"/>
      <c r="D283" s="8"/>
      <c r="E283" s="8"/>
      <c r="F283" s="4"/>
      <c r="G283" s="8"/>
      <c r="H283" s="8"/>
      <c r="I283" s="8"/>
      <c r="J283" s="13">
        <f>IF(AND(G283="Карта",H283="Оплачено"),F283,"")</f>
      </c>
      <c r="K283" s="14">
        <f>IF(AND(G283="Карта",H283="Не оплачено"),F283,"")</f>
      </c>
      <c r="L283" s="13">
        <f>IF(AND(G283="Наличные",H283="Оплачено"),F283,"")</f>
      </c>
      <c r="M283" s="14">
        <f>IF(AND(G283="Наличные",H283="Не оплачено"),F283,"")</f>
      </c>
      <c r="N283" s="13">
        <f>IF(AND(G283="Терминал",H283="Оплачено"),F283,"")</f>
      </c>
      <c r="O283" s="14">
        <f>IF(AND(G283="Терминал",H283="Не оплачено"),F283,"")</f>
      </c>
      <c r="P283" s="13">
        <f>IF(AND(G283="Перечисление",H283="Оплачено"),F283,"")</f>
      </c>
      <c r="Q283" s="14">
        <f>IF(AND(G283="Перечисление",H283="Не оплачено"),F283,"")</f>
      </c>
    </row>
    <row r="284">
      <c r="A284" s="9">
        <v>281</v>
      </c>
      <c r="B284" s="7"/>
      <c r="C284" s="6"/>
      <c r="D284" s="8"/>
      <c r="E284" s="8"/>
      <c r="F284" s="4"/>
      <c r="G284" s="8"/>
      <c r="H284" s="8"/>
      <c r="I284" s="8"/>
      <c r="J284" s="13">
        <f>IF(AND(G284="Карта",H284="Оплачено"),F284,"")</f>
      </c>
      <c r="K284" s="14">
        <f>IF(AND(G284="Карта",H284="Не оплачено"),F284,"")</f>
      </c>
      <c r="L284" s="13">
        <f>IF(AND(G284="Наличные",H284="Оплачено"),F284,"")</f>
      </c>
      <c r="M284" s="14">
        <f>IF(AND(G284="Наличные",H284="Не оплачено"),F284,"")</f>
      </c>
      <c r="N284" s="13">
        <f>IF(AND(G284="Терминал",H284="Оплачено"),F284,"")</f>
      </c>
      <c r="O284" s="14">
        <f>IF(AND(G284="Терминал",H284="Не оплачено"),F284,"")</f>
      </c>
      <c r="P284" s="13">
        <f>IF(AND(G284="Перечисление",H284="Оплачено"),F284,"")</f>
      </c>
      <c r="Q284" s="14">
        <f>IF(AND(G284="Перечисление",H284="Не оплачено"),F284,"")</f>
      </c>
    </row>
    <row r="285">
      <c r="A285" s="9">
        <v>282</v>
      </c>
      <c r="B285" s="7"/>
      <c r="C285" s="6"/>
      <c r="D285" s="8"/>
      <c r="E285" s="8"/>
      <c r="F285" s="4"/>
      <c r="G285" s="8"/>
      <c r="H285" s="8"/>
      <c r="I285" s="8"/>
      <c r="J285" s="13">
        <f>IF(AND(G285="Карта",H285="Оплачено"),F285,"")</f>
      </c>
      <c r="K285" s="14">
        <f>IF(AND(G285="Карта",H285="Не оплачено"),F285,"")</f>
      </c>
      <c r="L285" s="13">
        <f>IF(AND(G285="Наличные",H285="Оплачено"),F285,"")</f>
      </c>
      <c r="M285" s="14">
        <f>IF(AND(G285="Наличные",H285="Не оплачено"),F285,"")</f>
      </c>
      <c r="N285" s="13">
        <f>IF(AND(G285="Терминал",H285="Оплачено"),F285,"")</f>
      </c>
      <c r="O285" s="14">
        <f>IF(AND(G285="Терминал",H285="Не оплачено"),F285,"")</f>
      </c>
      <c r="P285" s="13">
        <f>IF(AND(G285="Перечисление",H285="Оплачено"),F285,"")</f>
      </c>
      <c r="Q285" s="14">
        <f>IF(AND(G285="Перечисление",H285="Не оплачено"),F285,"")</f>
      </c>
    </row>
    <row r="286">
      <c r="A286" s="9">
        <v>283</v>
      </c>
      <c r="B286" s="7"/>
      <c r="C286" s="6"/>
      <c r="D286" s="8"/>
      <c r="E286" s="8"/>
      <c r="F286" s="4"/>
      <c r="G286" s="8"/>
      <c r="H286" s="8"/>
      <c r="I286" s="8"/>
      <c r="J286" s="13">
        <f>IF(AND(G286="Карта",H286="Оплачено"),F286,"")</f>
      </c>
      <c r="K286" s="14">
        <f>IF(AND(G286="Карта",H286="Не оплачено"),F286,"")</f>
      </c>
      <c r="L286" s="13">
        <f>IF(AND(G286="Наличные",H286="Оплачено"),F286,"")</f>
      </c>
      <c r="M286" s="14">
        <f>IF(AND(G286="Наличные",H286="Не оплачено"),F286,"")</f>
      </c>
      <c r="N286" s="13">
        <f>IF(AND(G286="Терминал",H286="Оплачено"),F286,"")</f>
      </c>
      <c r="O286" s="14">
        <f>IF(AND(G286="Терминал",H286="Не оплачено"),F286,"")</f>
      </c>
      <c r="P286" s="13">
        <f>IF(AND(G286="Перечисление",H286="Оплачено"),F286,"")</f>
      </c>
      <c r="Q286" s="14">
        <f>IF(AND(G286="Перечисление",H286="Не оплачено"),F286,"")</f>
      </c>
    </row>
    <row r="287">
      <c r="A287" s="9">
        <v>284</v>
      </c>
      <c r="B287" s="7"/>
      <c r="C287" s="6"/>
      <c r="D287" s="8"/>
      <c r="E287" s="8"/>
      <c r="F287" s="4"/>
      <c r="G287" s="8"/>
      <c r="H287" s="8"/>
      <c r="I287" s="8"/>
      <c r="J287" s="13">
        <f>IF(AND(G287="Карта",H287="Оплачено"),F287,"")</f>
      </c>
      <c r="K287" s="14">
        <f>IF(AND(G287="Карта",H287="Не оплачено"),F287,"")</f>
      </c>
      <c r="L287" s="13">
        <f>IF(AND(G287="Наличные",H287="Оплачено"),F287,"")</f>
      </c>
      <c r="M287" s="14">
        <f>IF(AND(G287="Наличные",H287="Не оплачено"),F287,"")</f>
      </c>
      <c r="N287" s="13">
        <f>IF(AND(G287="Терминал",H287="Оплачено"),F287,"")</f>
      </c>
      <c r="O287" s="14">
        <f>IF(AND(G287="Терминал",H287="Не оплачено"),F287,"")</f>
      </c>
      <c r="P287" s="13">
        <f>IF(AND(G287="Перечисление",H287="Оплачено"),F287,"")</f>
      </c>
      <c r="Q287" s="14">
        <f>IF(AND(G287="Перечисление",H287="Не оплачено"),F287,"")</f>
      </c>
    </row>
    <row r="288">
      <c r="A288" s="9">
        <v>285</v>
      </c>
      <c r="B288" s="7"/>
      <c r="C288" s="6"/>
      <c r="D288" s="8"/>
      <c r="E288" s="8"/>
      <c r="F288" s="4"/>
      <c r="G288" s="8"/>
      <c r="H288" s="8"/>
      <c r="I288" s="8"/>
      <c r="J288" s="13">
        <f>IF(AND(G288="Карта",H288="Оплачено"),F288,"")</f>
      </c>
      <c r="K288" s="14">
        <f>IF(AND(G288="Карта",H288="Не оплачено"),F288,"")</f>
      </c>
      <c r="L288" s="13">
        <f>IF(AND(G288="Наличные",H288="Оплачено"),F288,"")</f>
      </c>
      <c r="M288" s="14">
        <f>IF(AND(G288="Наличные",H288="Не оплачено"),F288,"")</f>
      </c>
      <c r="N288" s="13">
        <f>IF(AND(G288="Терминал",H288="Оплачено"),F288,"")</f>
      </c>
      <c r="O288" s="14">
        <f>IF(AND(G288="Терминал",H288="Не оплачено"),F288,"")</f>
      </c>
      <c r="P288" s="13">
        <f>IF(AND(G288="Перечисление",H288="Оплачено"),F288,"")</f>
      </c>
      <c r="Q288" s="14">
        <f>IF(AND(G288="Перечисление",H288="Не оплачено"),F288,"")</f>
      </c>
    </row>
    <row r="289">
      <c r="A289" s="9">
        <v>286</v>
      </c>
      <c r="B289" s="7"/>
      <c r="C289" s="6"/>
      <c r="D289" s="8"/>
      <c r="E289" s="8"/>
      <c r="F289" s="4"/>
      <c r="G289" s="8"/>
      <c r="H289" s="8"/>
      <c r="I289" s="8"/>
      <c r="J289" s="13">
        <f>IF(AND(G289="Карта",H289="Оплачено"),F289,"")</f>
      </c>
      <c r="K289" s="14">
        <f>IF(AND(G289="Карта",H289="Не оплачено"),F289,"")</f>
      </c>
      <c r="L289" s="13">
        <f>IF(AND(G289="Наличные",H289="Оплачено"),F289,"")</f>
      </c>
      <c r="M289" s="14">
        <f>IF(AND(G289="Наличные",H289="Не оплачено"),F289,"")</f>
      </c>
      <c r="N289" s="13">
        <f>IF(AND(G289="Терминал",H289="Оплачено"),F289,"")</f>
      </c>
      <c r="O289" s="14">
        <f>IF(AND(G289="Терминал",H289="Не оплачено"),F289,"")</f>
      </c>
      <c r="P289" s="13">
        <f>IF(AND(G289="Перечисление",H289="Оплачено"),F289,"")</f>
      </c>
      <c r="Q289" s="14">
        <f>IF(AND(G289="Перечисление",H289="Не оплачено"),F289,"")</f>
      </c>
    </row>
    <row r="290">
      <c r="A290" s="9">
        <v>287</v>
      </c>
      <c r="B290" s="7"/>
      <c r="C290" s="6"/>
      <c r="D290" s="8"/>
      <c r="E290" s="8"/>
      <c r="F290" s="4"/>
      <c r="G290" s="8"/>
      <c r="H290" s="8"/>
      <c r="I290" s="8"/>
      <c r="J290" s="13">
        <f>IF(AND(G290="Карта",H290="Оплачено"),F290,"")</f>
      </c>
      <c r="K290" s="14">
        <f>IF(AND(G290="Карта",H290="Не оплачено"),F290,"")</f>
      </c>
      <c r="L290" s="13">
        <f>IF(AND(G290="Наличные",H290="Оплачено"),F290,"")</f>
      </c>
      <c r="M290" s="14">
        <f>IF(AND(G290="Наличные",H290="Не оплачено"),F290,"")</f>
      </c>
      <c r="N290" s="13">
        <f>IF(AND(G290="Терминал",H290="Оплачено"),F290,"")</f>
      </c>
      <c r="O290" s="14">
        <f>IF(AND(G290="Терминал",H290="Не оплачено"),F290,"")</f>
      </c>
      <c r="P290" s="13">
        <f>IF(AND(G290="Перечисление",H290="Оплачено"),F290,"")</f>
      </c>
      <c r="Q290" s="14">
        <f>IF(AND(G290="Перечисление",H290="Не оплачено"),F290,"")</f>
      </c>
    </row>
    <row r="291">
      <c r="A291" s="9">
        <v>288</v>
      </c>
      <c r="B291" s="7"/>
      <c r="C291" s="6"/>
      <c r="D291" s="8"/>
      <c r="E291" s="8"/>
      <c r="F291" s="4"/>
      <c r="G291" s="8"/>
      <c r="H291" s="8"/>
      <c r="I291" s="8"/>
      <c r="J291" s="13">
        <f>IF(AND(G291="Карта",H291="Оплачено"),F291,"")</f>
      </c>
      <c r="K291" s="14">
        <f>IF(AND(G291="Карта",H291="Не оплачено"),F291,"")</f>
      </c>
      <c r="L291" s="13">
        <f>IF(AND(G291="Наличные",H291="Оплачено"),F291,"")</f>
      </c>
      <c r="M291" s="14">
        <f>IF(AND(G291="Наличные",H291="Не оплачено"),F291,"")</f>
      </c>
      <c r="N291" s="13">
        <f>IF(AND(G291="Терминал",H291="Оплачено"),F291,"")</f>
      </c>
      <c r="O291" s="14">
        <f>IF(AND(G291="Терминал",H291="Не оплачено"),F291,"")</f>
      </c>
      <c r="P291" s="13">
        <f>IF(AND(G291="Перечисление",H291="Оплачено"),F291,"")</f>
      </c>
      <c r="Q291" s="14">
        <f>IF(AND(G291="Перечисление",H291="Не оплачено"),F291,"")</f>
      </c>
    </row>
    <row r="292">
      <c r="A292" s="9">
        <v>289</v>
      </c>
      <c r="B292" s="7"/>
      <c r="C292" s="6"/>
      <c r="D292" s="8"/>
      <c r="E292" s="8"/>
      <c r="F292" s="4"/>
      <c r="G292" s="8"/>
      <c r="H292" s="8"/>
      <c r="I292" s="8"/>
      <c r="J292" s="13">
        <f>IF(AND(G292="Карта",H292="Оплачено"),F292,"")</f>
      </c>
      <c r="K292" s="14">
        <f>IF(AND(G292="Карта",H292="Не оплачено"),F292,"")</f>
      </c>
      <c r="L292" s="13">
        <f>IF(AND(G292="Наличные",H292="Оплачено"),F292,"")</f>
      </c>
      <c r="M292" s="14">
        <f>IF(AND(G292="Наличные",H292="Не оплачено"),F292,"")</f>
      </c>
      <c r="N292" s="13">
        <f>IF(AND(G292="Терминал",H292="Оплачено"),F292,"")</f>
      </c>
      <c r="O292" s="14">
        <f>IF(AND(G292="Терминал",H292="Не оплачено"),F292,"")</f>
      </c>
      <c r="P292" s="13">
        <f>IF(AND(G292="Перечисление",H292="Оплачено"),F292,"")</f>
      </c>
      <c r="Q292" s="14">
        <f>IF(AND(G292="Перечисление",H292="Не оплачено"),F292,"")</f>
      </c>
    </row>
    <row r="293">
      <c r="A293" s="9">
        <v>290</v>
      </c>
      <c r="B293" s="7"/>
      <c r="C293" s="6"/>
      <c r="D293" s="8"/>
      <c r="E293" s="8"/>
      <c r="F293" s="4"/>
      <c r="G293" s="8"/>
      <c r="H293" s="8"/>
      <c r="I293" s="8"/>
      <c r="J293" s="13">
        <f>IF(AND(G293="Карта",H293="Оплачено"),F293,"")</f>
      </c>
      <c r="K293" s="14">
        <f>IF(AND(G293="Карта",H293="Не оплачено"),F293,"")</f>
      </c>
      <c r="L293" s="13">
        <f>IF(AND(G293="Наличные",H293="Оплачено"),F293,"")</f>
      </c>
      <c r="M293" s="14">
        <f>IF(AND(G293="Наличные",H293="Не оплачено"),F293,"")</f>
      </c>
      <c r="N293" s="13">
        <f>IF(AND(G293="Терминал",H293="Оплачено"),F293,"")</f>
      </c>
      <c r="O293" s="14">
        <f>IF(AND(G293="Терминал",H293="Не оплачено"),F293,"")</f>
      </c>
      <c r="P293" s="13">
        <f>IF(AND(G293="Перечисление",H293="Оплачено"),F293,"")</f>
      </c>
      <c r="Q293" s="14">
        <f>IF(AND(G293="Перечисление",H293="Не оплачено"),F293,"")</f>
      </c>
    </row>
    <row r="294">
      <c r="A294" s="9">
        <v>291</v>
      </c>
      <c r="B294" s="7"/>
      <c r="C294" s="6"/>
      <c r="D294" s="8"/>
      <c r="E294" s="8"/>
      <c r="F294" s="4"/>
      <c r="G294" s="8"/>
      <c r="H294" s="8"/>
      <c r="I294" s="8"/>
      <c r="J294" s="13">
        <f>IF(AND(G294="Карта",H294="Оплачено"),F294,"")</f>
      </c>
      <c r="K294" s="14">
        <f>IF(AND(G294="Карта",H294="Не оплачено"),F294,"")</f>
      </c>
      <c r="L294" s="13">
        <f>IF(AND(G294="Наличные",H294="Оплачено"),F294,"")</f>
      </c>
      <c r="M294" s="14">
        <f>IF(AND(G294="Наличные",H294="Не оплачено"),F294,"")</f>
      </c>
      <c r="N294" s="13">
        <f>IF(AND(G294="Терминал",H294="Оплачено"),F294,"")</f>
      </c>
      <c r="O294" s="14">
        <f>IF(AND(G294="Терминал",H294="Не оплачено"),F294,"")</f>
      </c>
      <c r="P294" s="13">
        <f>IF(AND(G294="Перечисление",H294="Оплачено"),F294,"")</f>
      </c>
      <c r="Q294" s="14">
        <f>IF(AND(G294="Перечисление",H294="Не оплачено"),F294,"")</f>
      </c>
    </row>
    <row r="295">
      <c r="A295" s="9">
        <v>292</v>
      </c>
      <c r="B295" s="7"/>
      <c r="C295" s="6"/>
      <c r="D295" s="8"/>
      <c r="E295" s="8"/>
      <c r="F295" s="4"/>
      <c r="G295" s="8"/>
      <c r="H295" s="8"/>
      <c r="I295" s="8"/>
      <c r="J295" s="13">
        <f>IF(AND(G295="Карта",H295="Оплачено"),F295,"")</f>
      </c>
      <c r="K295" s="14">
        <f>IF(AND(G295="Карта",H295="Не оплачено"),F295,"")</f>
      </c>
      <c r="L295" s="13">
        <f>IF(AND(G295="Наличные",H295="Оплачено"),F295,"")</f>
      </c>
      <c r="M295" s="14">
        <f>IF(AND(G295="Наличные",H295="Не оплачено"),F295,"")</f>
      </c>
      <c r="N295" s="13">
        <f>IF(AND(G295="Терминал",H295="Оплачено"),F295,"")</f>
      </c>
      <c r="O295" s="14">
        <f>IF(AND(G295="Терминал",H295="Не оплачено"),F295,"")</f>
      </c>
      <c r="P295" s="13">
        <f>IF(AND(G295="Перечисление",H295="Оплачено"),F295,"")</f>
      </c>
      <c r="Q295" s="14">
        <f>IF(AND(G295="Перечисление",H295="Не оплачено"),F295,"")</f>
      </c>
    </row>
    <row r="296">
      <c r="A296" s="9">
        <v>293</v>
      </c>
      <c r="B296" s="7"/>
      <c r="C296" s="6"/>
      <c r="D296" s="8"/>
      <c r="E296" s="8"/>
      <c r="F296" s="4"/>
      <c r="G296" s="8"/>
      <c r="H296" s="8"/>
      <c r="I296" s="8"/>
      <c r="J296" s="13">
        <f>IF(AND(G296="Карта",H296="Оплачено"),F296,"")</f>
      </c>
      <c r="K296" s="14">
        <f>IF(AND(G296="Карта",H296="Не оплачено"),F296,"")</f>
      </c>
      <c r="L296" s="13">
        <f>IF(AND(G296="Наличные",H296="Оплачено"),F296,"")</f>
      </c>
      <c r="M296" s="14">
        <f>IF(AND(G296="Наличные",H296="Не оплачено"),F296,"")</f>
      </c>
      <c r="N296" s="13">
        <f>IF(AND(G296="Терминал",H296="Оплачено"),F296,"")</f>
      </c>
      <c r="O296" s="14">
        <f>IF(AND(G296="Терминал",H296="Не оплачено"),F296,"")</f>
      </c>
      <c r="P296" s="13">
        <f>IF(AND(G296="Перечисление",H296="Оплачено"),F296,"")</f>
      </c>
      <c r="Q296" s="14">
        <f>IF(AND(G296="Перечисление",H296="Не оплачено"),F296,"")</f>
      </c>
    </row>
    <row r="297">
      <c r="A297" s="9">
        <v>294</v>
      </c>
      <c r="B297" s="7"/>
      <c r="C297" s="6"/>
      <c r="D297" s="8"/>
      <c r="E297" s="8"/>
      <c r="F297" s="4"/>
      <c r="G297" s="8"/>
      <c r="H297" s="8"/>
      <c r="I297" s="8"/>
      <c r="J297" s="13">
        <f>IF(AND(G297="Карта",H297="Оплачено"),F297,"")</f>
      </c>
      <c r="K297" s="14">
        <f>IF(AND(G297="Карта",H297="Не оплачено"),F297,"")</f>
      </c>
      <c r="L297" s="13">
        <f>IF(AND(G297="Наличные",H297="Оплачено"),F297,"")</f>
      </c>
      <c r="M297" s="14">
        <f>IF(AND(G297="Наличные",H297="Не оплачено"),F297,"")</f>
      </c>
      <c r="N297" s="13">
        <f>IF(AND(G297="Терминал",H297="Оплачено"),F297,"")</f>
      </c>
      <c r="O297" s="14">
        <f>IF(AND(G297="Терминал",H297="Не оплачено"),F297,"")</f>
      </c>
      <c r="P297" s="13">
        <f>IF(AND(G297="Перечисление",H297="Оплачено"),F297,"")</f>
      </c>
      <c r="Q297" s="14">
        <f>IF(AND(G297="Перечисление",H297="Не оплачено"),F297,"")</f>
      </c>
    </row>
    <row r="298">
      <c r="A298" s="9">
        <v>295</v>
      </c>
      <c r="B298" s="7"/>
      <c r="C298" s="6"/>
      <c r="D298" s="8"/>
      <c r="E298" s="8"/>
      <c r="F298" s="4"/>
      <c r="G298" s="8"/>
      <c r="H298" s="8"/>
      <c r="I298" s="8"/>
      <c r="J298" s="13">
        <f>IF(AND(G298="Карта",H298="Оплачено"),F298,"")</f>
      </c>
      <c r="K298" s="14">
        <f>IF(AND(G298="Карта",H298="Не оплачено"),F298,"")</f>
      </c>
      <c r="L298" s="13">
        <f>IF(AND(G298="Наличные",H298="Оплачено"),F298,"")</f>
      </c>
      <c r="M298" s="14">
        <f>IF(AND(G298="Наличные",H298="Не оплачено"),F298,"")</f>
      </c>
      <c r="N298" s="13">
        <f>IF(AND(G298="Терминал",H298="Оплачено"),F298,"")</f>
      </c>
      <c r="O298" s="14">
        <f>IF(AND(G298="Терминал",H298="Не оплачено"),F298,"")</f>
      </c>
      <c r="P298" s="13">
        <f>IF(AND(G298="Перечисление",H298="Оплачено"),F298,"")</f>
      </c>
      <c r="Q298" s="14">
        <f>IF(AND(G298="Перечисление",H298="Не оплачено"),F298,"")</f>
      </c>
    </row>
    <row r="299">
      <c r="A299" s="9">
        <v>296</v>
      </c>
      <c r="B299" s="7"/>
      <c r="C299" s="6"/>
      <c r="D299" s="8"/>
      <c r="E299" s="8"/>
      <c r="F299" s="4"/>
      <c r="G299" s="8"/>
      <c r="H299" s="8"/>
      <c r="I299" s="8"/>
      <c r="J299" s="13">
        <f>IF(AND(G299="Карта",H299="Оплачено"),F299,"")</f>
      </c>
      <c r="K299" s="14">
        <f>IF(AND(G299="Карта",H299="Не оплачено"),F299,"")</f>
      </c>
      <c r="L299" s="13">
        <f>IF(AND(G299="Наличные",H299="Оплачено"),F299,"")</f>
      </c>
      <c r="M299" s="14">
        <f>IF(AND(G299="Наличные",H299="Не оплачено"),F299,"")</f>
      </c>
      <c r="N299" s="13">
        <f>IF(AND(G299="Терминал",H299="Оплачено"),F299,"")</f>
      </c>
      <c r="O299" s="14">
        <f>IF(AND(G299="Терминал",H299="Не оплачено"),F299,"")</f>
      </c>
      <c r="P299" s="13">
        <f>IF(AND(G299="Перечисление",H299="Оплачено"),F299,"")</f>
      </c>
      <c r="Q299" s="14">
        <f>IF(AND(G299="Перечисление",H299="Не оплачено"),F299,"")</f>
      </c>
    </row>
    <row r="300">
      <c r="A300" s="9">
        <v>297</v>
      </c>
      <c r="B300" s="7"/>
      <c r="C300" s="6"/>
      <c r="D300" s="8"/>
      <c r="E300" s="8"/>
      <c r="F300" s="4"/>
      <c r="G300" s="8"/>
      <c r="H300" s="8"/>
      <c r="I300" s="8"/>
      <c r="J300" s="13">
        <f>IF(AND(G300="Карта",H300="Оплачено"),F300,"")</f>
      </c>
      <c r="K300" s="14">
        <f>IF(AND(G300="Карта",H300="Не оплачено"),F300,"")</f>
      </c>
      <c r="L300" s="13">
        <f>IF(AND(G300="Наличные",H300="Оплачено"),F300,"")</f>
      </c>
      <c r="M300" s="14">
        <f>IF(AND(G300="Наличные",H300="Не оплачено"),F300,"")</f>
      </c>
      <c r="N300" s="13">
        <f>IF(AND(G300="Терминал",H300="Оплачено"),F300,"")</f>
      </c>
      <c r="O300" s="14">
        <f>IF(AND(G300="Терминал",H300="Не оплачено"),F300,"")</f>
      </c>
      <c r="P300" s="13">
        <f>IF(AND(G300="Перечисление",H300="Оплачено"),F300,"")</f>
      </c>
      <c r="Q300" s="14">
        <f>IF(AND(G300="Перечисление",H300="Не оплачено"),F300,"")</f>
      </c>
    </row>
    <row r="301">
      <c r="A301" s="9">
        <v>298</v>
      </c>
      <c r="B301" s="7"/>
      <c r="C301" s="6"/>
      <c r="D301" s="8"/>
      <c r="E301" s="8"/>
      <c r="F301" s="4"/>
      <c r="G301" s="8"/>
      <c r="H301" s="8"/>
      <c r="I301" s="8"/>
      <c r="J301" s="13">
        <f>IF(AND(G301="Карта",H301="Оплачено"),F301,"")</f>
      </c>
      <c r="K301" s="14">
        <f>IF(AND(G301="Карта",H301="Не оплачено"),F301,"")</f>
      </c>
      <c r="L301" s="13">
        <f>IF(AND(G301="Наличные",H301="Оплачено"),F301,"")</f>
      </c>
      <c r="M301" s="14">
        <f>IF(AND(G301="Наличные",H301="Не оплачено"),F301,"")</f>
      </c>
      <c r="N301" s="13">
        <f>IF(AND(G301="Терминал",H301="Оплачено"),F301,"")</f>
      </c>
      <c r="O301" s="14">
        <f>IF(AND(G301="Терминал",H301="Не оплачено"),F301,"")</f>
      </c>
      <c r="P301" s="13">
        <f>IF(AND(G301="Перечисление",H301="Оплачено"),F301,"")</f>
      </c>
      <c r="Q301" s="14">
        <f>IF(AND(G301="Перечисление",H301="Не оплачено"),F301,"")</f>
      </c>
    </row>
    <row r="302">
      <c r="A302" s="9">
        <v>299</v>
      </c>
      <c r="B302" s="7"/>
      <c r="C302" s="6"/>
      <c r="D302" s="8"/>
      <c r="E302" s="8"/>
      <c r="F302" s="4"/>
      <c r="G302" s="8"/>
      <c r="H302" s="8"/>
      <c r="I302" s="8"/>
      <c r="J302" s="13">
        <f>IF(AND(G302="Карта",H302="Оплачено"),F302,"")</f>
      </c>
      <c r="K302" s="14">
        <f>IF(AND(G302="Карта",H302="Не оплачено"),F302,"")</f>
      </c>
      <c r="L302" s="13">
        <f>IF(AND(G302="Наличные",H302="Оплачено"),F302,"")</f>
      </c>
      <c r="M302" s="14">
        <f>IF(AND(G302="Наличные",H302="Не оплачено"),F302,"")</f>
      </c>
      <c r="N302" s="13">
        <f>IF(AND(G302="Терминал",H302="Оплачено"),F302,"")</f>
      </c>
      <c r="O302" s="14">
        <f>IF(AND(G302="Терминал",H302="Не оплачено"),F302,"")</f>
      </c>
      <c r="P302" s="13">
        <f>IF(AND(G302="Перечисление",H302="Оплачено"),F302,"")</f>
      </c>
      <c r="Q302" s="14">
        <f>IF(AND(G302="Перечисление",H302="Не оплачено"),F302,"")</f>
      </c>
    </row>
    <row r="303">
      <c r="A303" s="9">
        <v>300</v>
      </c>
      <c r="B303" s="7"/>
      <c r="C303" s="6"/>
      <c r="D303" s="8"/>
      <c r="E303" s="8"/>
      <c r="F303" s="4"/>
      <c r="G303" s="8"/>
      <c r="H303" s="8"/>
      <c r="I303" s="8"/>
      <c r="J303" s="13">
        <f>IF(AND(G303="Карта",H303="Оплачено"),F303,"")</f>
      </c>
      <c r="K303" s="14">
        <f>IF(AND(G303="Карта",H303="Не оплачено"),F303,"")</f>
      </c>
      <c r="L303" s="13">
        <f>IF(AND(G303="Наличные",H303="Оплачено"),F303,"")</f>
      </c>
      <c r="M303" s="14">
        <f>IF(AND(G303="Наличные",H303="Не оплачено"),F303,"")</f>
      </c>
      <c r="N303" s="13">
        <f>IF(AND(G303="Терминал",H303="Оплачено"),F303,"")</f>
      </c>
      <c r="O303" s="14">
        <f>IF(AND(G303="Терминал",H303="Не оплачено"),F303,"")</f>
      </c>
      <c r="P303" s="13">
        <f>IF(AND(G303="Перечисление",H303="Оплачено"),F303,"")</f>
      </c>
      <c r="Q303" s="14">
        <f>IF(AND(G303="Перечисление",H303="Не оплачено"),F303,"")</f>
      </c>
    </row>
    <row r="304">
      <c r="A304" s="9">
        <v>301</v>
      </c>
      <c r="B304" s="7"/>
      <c r="C304" s="6"/>
      <c r="D304" s="8"/>
      <c r="E304" s="8"/>
      <c r="F304" s="4"/>
      <c r="G304" s="8"/>
      <c r="H304" s="8"/>
      <c r="I304" s="8"/>
      <c r="J304" s="13">
        <f>IF(AND(G304="Карта",H304="Оплачено"),F304,"")</f>
      </c>
      <c r="K304" s="14">
        <f>IF(AND(G304="Карта",H304="Не оплачено"),F304,"")</f>
      </c>
      <c r="L304" s="13">
        <f>IF(AND(G304="Наличные",H304="Оплачено"),F304,"")</f>
      </c>
      <c r="M304" s="14">
        <f>IF(AND(G304="Наличные",H304="Не оплачено"),F304,"")</f>
      </c>
      <c r="N304" s="13">
        <f>IF(AND(G304="Терминал",H304="Оплачено"),F304,"")</f>
      </c>
      <c r="O304" s="14">
        <f>IF(AND(G304="Терминал",H304="Не оплачено"),F304,"")</f>
      </c>
      <c r="P304" s="13">
        <f>IF(AND(G304="Перечисление",H304="Оплачено"),F304,"")</f>
      </c>
      <c r="Q304" s="14">
        <f>IF(AND(G304="Перечисление",H304="Не оплачено"),F304,"")</f>
      </c>
    </row>
    <row r="305">
      <c r="A305" s="9">
        <v>302</v>
      </c>
      <c r="B305" s="7"/>
      <c r="C305" s="6"/>
      <c r="D305" s="8"/>
      <c r="E305" s="8"/>
      <c r="F305" s="4"/>
      <c r="G305" s="8"/>
      <c r="H305" s="8"/>
      <c r="I305" s="8"/>
      <c r="J305" s="13">
        <f>IF(AND(G305="Карта",H305="Оплачено"),F305,"")</f>
      </c>
      <c r="K305" s="14">
        <f>IF(AND(G305="Карта",H305="Не оплачено"),F305,"")</f>
      </c>
      <c r="L305" s="13">
        <f>IF(AND(G305="Наличные",H305="Оплачено"),F305,"")</f>
      </c>
      <c r="M305" s="14">
        <f>IF(AND(G305="Наличные",H305="Не оплачено"),F305,"")</f>
      </c>
      <c r="N305" s="13">
        <f>IF(AND(G305="Терминал",H305="Оплачено"),F305,"")</f>
      </c>
      <c r="O305" s="14">
        <f>IF(AND(G305="Терминал",H305="Не оплачено"),F305,"")</f>
      </c>
      <c r="P305" s="13">
        <f>IF(AND(G305="Перечисление",H305="Оплачено"),F305,"")</f>
      </c>
      <c r="Q305" s="14">
        <f>IF(AND(G305="Перечисление",H305="Не оплачено"),F305,"")</f>
      </c>
    </row>
    <row r="306">
      <c r="A306" s="9">
        <v>303</v>
      </c>
      <c r="B306" s="7"/>
      <c r="C306" s="6"/>
      <c r="D306" s="8"/>
      <c r="E306" s="8"/>
      <c r="F306" s="4"/>
      <c r="G306" s="8"/>
      <c r="H306" s="8"/>
      <c r="I306" s="8"/>
      <c r="J306" s="13">
        <f>IF(AND(G306="Карта",H306="Оплачено"),F306,"")</f>
      </c>
      <c r="K306" s="14">
        <f>IF(AND(G306="Карта",H306="Не оплачено"),F306,"")</f>
      </c>
      <c r="L306" s="13">
        <f>IF(AND(G306="Наличные",H306="Оплачено"),F306,"")</f>
      </c>
      <c r="M306" s="14">
        <f>IF(AND(G306="Наличные",H306="Не оплачено"),F306,"")</f>
      </c>
      <c r="N306" s="13">
        <f>IF(AND(G306="Терминал",H306="Оплачено"),F306,"")</f>
      </c>
      <c r="O306" s="14">
        <f>IF(AND(G306="Терминал",H306="Не оплачено"),F306,"")</f>
      </c>
      <c r="P306" s="13">
        <f>IF(AND(G306="Перечисление",H306="Оплачено"),F306,"")</f>
      </c>
      <c r="Q306" s="14">
        <f>IF(AND(G306="Перечисление",H306="Не оплачено"),F306,"")</f>
      </c>
    </row>
    <row r="307">
      <c r="A307" s="9">
        <v>304</v>
      </c>
      <c r="B307" s="7"/>
      <c r="C307" s="6"/>
      <c r="D307" s="8"/>
      <c r="E307" s="8"/>
      <c r="F307" s="4"/>
      <c r="G307" s="8"/>
      <c r="H307" s="8"/>
      <c r="I307" s="8"/>
      <c r="J307" s="13">
        <f>IF(AND(G307="Карта",H307="Оплачено"),F307,"")</f>
      </c>
      <c r="K307" s="14">
        <f>IF(AND(G307="Карта",H307="Не оплачено"),F307,"")</f>
      </c>
      <c r="L307" s="13">
        <f>IF(AND(G307="Наличные",H307="Оплачено"),F307,"")</f>
      </c>
      <c r="M307" s="14">
        <f>IF(AND(G307="Наличные",H307="Не оплачено"),F307,"")</f>
      </c>
      <c r="N307" s="13">
        <f>IF(AND(G307="Терминал",H307="Оплачено"),F307,"")</f>
      </c>
      <c r="O307" s="14">
        <f>IF(AND(G307="Терминал",H307="Не оплачено"),F307,"")</f>
      </c>
      <c r="P307" s="13">
        <f>IF(AND(G307="Перечисление",H307="Оплачено"),F307,"")</f>
      </c>
      <c r="Q307" s="14">
        <f>IF(AND(G307="Перечисление",H307="Не оплачено"),F307,"")</f>
      </c>
    </row>
    <row r="308">
      <c r="A308" s="9">
        <v>305</v>
      </c>
      <c r="B308" s="7"/>
      <c r="C308" s="6"/>
      <c r="D308" s="8"/>
      <c r="E308" s="8"/>
      <c r="F308" s="4"/>
      <c r="G308" s="8"/>
      <c r="H308" s="8"/>
      <c r="I308" s="8"/>
      <c r="J308" s="13">
        <f>IF(AND(G308="Карта",H308="Оплачено"),F308,"")</f>
      </c>
      <c r="K308" s="14">
        <f>IF(AND(G308="Карта",H308="Не оплачено"),F308,"")</f>
      </c>
      <c r="L308" s="13">
        <f>IF(AND(G308="Наличные",H308="Оплачено"),F308,"")</f>
      </c>
      <c r="M308" s="14">
        <f>IF(AND(G308="Наличные",H308="Не оплачено"),F308,"")</f>
      </c>
      <c r="N308" s="13">
        <f>IF(AND(G308="Терминал",H308="Оплачено"),F308,"")</f>
      </c>
      <c r="O308" s="14">
        <f>IF(AND(G308="Терминал",H308="Не оплачено"),F308,"")</f>
      </c>
      <c r="P308" s="13">
        <f>IF(AND(G308="Перечисление",H308="Оплачено"),F308,"")</f>
      </c>
      <c r="Q308" s="14">
        <f>IF(AND(G308="Перечисление",H308="Не оплачено"),F308,"")</f>
      </c>
    </row>
    <row r="309">
      <c r="A309" s="9">
        <v>306</v>
      </c>
      <c r="B309" s="7"/>
      <c r="C309" s="6"/>
      <c r="D309" s="8"/>
      <c r="E309" s="8"/>
      <c r="F309" s="4"/>
      <c r="G309" s="8"/>
      <c r="H309" s="8"/>
      <c r="I309" s="8"/>
      <c r="J309" s="13">
        <f>IF(AND(G309="Карта",H309="Оплачено"),F309,"")</f>
      </c>
      <c r="K309" s="14">
        <f>IF(AND(G309="Карта",H309="Не оплачено"),F309,"")</f>
      </c>
      <c r="L309" s="13">
        <f>IF(AND(G309="Наличные",H309="Оплачено"),F309,"")</f>
      </c>
      <c r="M309" s="14">
        <f>IF(AND(G309="Наличные",H309="Не оплачено"),F309,"")</f>
      </c>
      <c r="N309" s="13">
        <f>IF(AND(G309="Терминал",H309="Оплачено"),F309,"")</f>
      </c>
      <c r="O309" s="14">
        <f>IF(AND(G309="Терминал",H309="Не оплачено"),F309,"")</f>
      </c>
      <c r="P309" s="13">
        <f>IF(AND(G309="Перечисление",H309="Оплачено"),F309,"")</f>
      </c>
      <c r="Q309" s="14">
        <f>IF(AND(G309="Перечисление",H309="Не оплачено"),F309,"")</f>
      </c>
    </row>
    <row r="310">
      <c r="A310" s="9">
        <v>307</v>
      </c>
      <c r="B310" s="7"/>
      <c r="C310" s="6"/>
      <c r="D310" s="8"/>
      <c r="E310" s="8"/>
      <c r="F310" s="4"/>
      <c r="G310" s="8"/>
      <c r="H310" s="8"/>
      <c r="I310" s="8"/>
      <c r="J310" s="13">
        <f>IF(AND(G310="Карта",H310="Оплачено"),F310,"")</f>
      </c>
      <c r="K310" s="14">
        <f>IF(AND(G310="Карта",H310="Не оплачено"),F310,"")</f>
      </c>
      <c r="L310" s="13">
        <f>IF(AND(G310="Наличные",H310="Оплачено"),F310,"")</f>
      </c>
      <c r="M310" s="14">
        <f>IF(AND(G310="Наличные",H310="Не оплачено"),F310,"")</f>
      </c>
      <c r="N310" s="13">
        <f>IF(AND(G310="Терминал",H310="Оплачено"),F310,"")</f>
      </c>
      <c r="O310" s="14">
        <f>IF(AND(G310="Терминал",H310="Не оплачено"),F310,"")</f>
      </c>
      <c r="P310" s="13">
        <f>IF(AND(G310="Перечисление",H310="Оплачено"),F310,"")</f>
      </c>
      <c r="Q310" s="14">
        <f>IF(AND(G310="Перечисление",H310="Не оплачено"),F310,"")</f>
      </c>
    </row>
    <row r="311">
      <c r="A311" s="9">
        <v>308</v>
      </c>
      <c r="B311" s="7"/>
      <c r="C311" s="6"/>
      <c r="D311" s="8"/>
      <c r="E311" s="8"/>
      <c r="F311" s="4"/>
      <c r="G311" s="8"/>
      <c r="H311" s="8"/>
      <c r="I311" s="8"/>
      <c r="J311" s="13">
        <f>IF(AND(G311="Карта",H311="Оплачено"),F311,"")</f>
      </c>
      <c r="K311" s="14">
        <f>IF(AND(G311="Карта",H311="Не оплачено"),F311,"")</f>
      </c>
      <c r="L311" s="13">
        <f>IF(AND(G311="Наличные",H311="Оплачено"),F311,"")</f>
      </c>
      <c r="M311" s="14">
        <f>IF(AND(G311="Наличные",H311="Не оплачено"),F311,"")</f>
      </c>
      <c r="N311" s="13">
        <f>IF(AND(G311="Терминал",H311="Оплачено"),F311,"")</f>
      </c>
      <c r="O311" s="14">
        <f>IF(AND(G311="Терминал",H311="Не оплачено"),F311,"")</f>
      </c>
      <c r="P311" s="13">
        <f>IF(AND(G311="Перечисление",H311="Оплачено"),F311,"")</f>
      </c>
      <c r="Q311" s="14">
        <f>IF(AND(G311="Перечисление",H311="Не оплачено"),F311,"")</f>
      </c>
    </row>
    <row r="312">
      <c r="A312" s="9">
        <v>309</v>
      </c>
      <c r="B312" s="7"/>
      <c r="C312" s="6"/>
      <c r="D312" s="8"/>
      <c r="E312" s="8"/>
      <c r="F312" s="4"/>
      <c r="G312" s="8"/>
      <c r="H312" s="8"/>
      <c r="I312" s="8"/>
      <c r="J312" s="13">
        <f>IF(AND(G312="Карта",H312="Оплачено"),F312,"")</f>
      </c>
      <c r="K312" s="14">
        <f>IF(AND(G312="Карта",H312="Не оплачено"),F312,"")</f>
      </c>
      <c r="L312" s="13">
        <f>IF(AND(G312="Наличные",H312="Оплачено"),F312,"")</f>
      </c>
      <c r="M312" s="14">
        <f>IF(AND(G312="Наличные",H312="Не оплачено"),F312,"")</f>
      </c>
      <c r="N312" s="13">
        <f>IF(AND(G312="Терминал",H312="Оплачено"),F312,"")</f>
      </c>
      <c r="O312" s="14">
        <f>IF(AND(G312="Терминал",H312="Не оплачено"),F312,"")</f>
      </c>
      <c r="P312" s="13">
        <f>IF(AND(G312="Перечисление",H312="Оплачено"),F312,"")</f>
      </c>
      <c r="Q312" s="14">
        <f>IF(AND(G312="Перечисление",H312="Не оплачено"),F312,"")</f>
      </c>
    </row>
    <row r="313">
      <c r="A313" s="9">
        <v>310</v>
      </c>
      <c r="B313" s="7"/>
      <c r="C313" s="6"/>
      <c r="D313" s="8"/>
      <c r="E313" s="8"/>
      <c r="F313" s="4"/>
      <c r="G313" s="8"/>
      <c r="H313" s="8"/>
      <c r="I313" s="8"/>
      <c r="J313" s="13">
        <f>IF(AND(G313="Карта",H313="Оплачено"),F313,"")</f>
      </c>
      <c r="K313" s="14">
        <f>IF(AND(G313="Карта",H313="Не оплачено"),F313,"")</f>
      </c>
      <c r="L313" s="13">
        <f>IF(AND(G313="Наличные",H313="Оплачено"),F313,"")</f>
      </c>
      <c r="M313" s="14">
        <f>IF(AND(G313="Наличные",H313="Не оплачено"),F313,"")</f>
      </c>
      <c r="N313" s="13">
        <f>IF(AND(G313="Терминал",H313="Оплачено"),F313,"")</f>
      </c>
      <c r="O313" s="14">
        <f>IF(AND(G313="Терминал",H313="Не оплачено"),F313,"")</f>
      </c>
      <c r="P313" s="13">
        <f>IF(AND(G313="Перечисление",H313="Оплачено"),F313,"")</f>
      </c>
      <c r="Q313" s="14">
        <f>IF(AND(G313="Перечисление",H313="Не оплачено"),F313,"")</f>
      </c>
    </row>
    <row r="314">
      <c r="A314" s="9">
        <v>311</v>
      </c>
      <c r="B314" s="7"/>
      <c r="C314" s="6"/>
      <c r="D314" s="8"/>
      <c r="E314" s="8"/>
      <c r="F314" s="4"/>
      <c r="G314" s="8"/>
      <c r="H314" s="8"/>
      <c r="I314" s="8"/>
      <c r="J314" s="13">
        <f>IF(AND(G314="Карта",H314="Оплачено"),F314,"")</f>
      </c>
      <c r="K314" s="14">
        <f>IF(AND(G314="Карта",H314="Не оплачено"),F314,"")</f>
      </c>
      <c r="L314" s="13">
        <f>IF(AND(G314="Наличные",H314="Оплачено"),F314,"")</f>
      </c>
      <c r="M314" s="14">
        <f>IF(AND(G314="Наличные",H314="Не оплачено"),F314,"")</f>
      </c>
      <c r="N314" s="13">
        <f>IF(AND(G314="Терминал",H314="Оплачено"),F314,"")</f>
      </c>
      <c r="O314" s="14">
        <f>IF(AND(G314="Терминал",H314="Не оплачено"),F314,"")</f>
      </c>
      <c r="P314" s="13">
        <f>IF(AND(G314="Перечисление",H314="Оплачено"),F314,"")</f>
      </c>
      <c r="Q314" s="14">
        <f>IF(AND(G314="Перечисление",H314="Не оплачено"),F314,"")</f>
      </c>
    </row>
    <row r="315">
      <c r="A315" s="9">
        <v>312</v>
      </c>
      <c r="B315" s="7"/>
      <c r="C315" s="6"/>
      <c r="D315" s="8"/>
      <c r="E315" s="8"/>
      <c r="F315" s="4"/>
      <c r="G315" s="8"/>
      <c r="H315" s="8"/>
      <c r="I315" s="8"/>
      <c r="J315" s="13">
        <f>IF(AND(G315="Карта",H315="Оплачено"),F315,"")</f>
      </c>
      <c r="K315" s="14">
        <f>IF(AND(G315="Карта",H315="Не оплачено"),F315,"")</f>
      </c>
      <c r="L315" s="13">
        <f>IF(AND(G315="Наличные",H315="Оплачено"),F315,"")</f>
      </c>
      <c r="M315" s="14">
        <f>IF(AND(G315="Наличные",H315="Не оплачено"),F315,"")</f>
      </c>
      <c r="N315" s="13">
        <f>IF(AND(G315="Терминал",H315="Оплачено"),F315,"")</f>
      </c>
      <c r="O315" s="14">
        <f>IF(AND(G315="Терминал",H315="Не оплачено"),F315,"")</f>
      </c>
      <c r="P315" s="13">
        <f>IF(AND(G315="Перечисление",H315="Оплачено"),F315,"")</f>
      </c>
      <c r="Q315" s="14">
        <f>IF(AND(G315="Перечисление",H315="Не оплачено"),F315,"")</f>
      </c>
    </row>
    <row r="316">
      <c r="A316" s="9">
        <v>313</v>
      </c>
      <c r="B316" s="7"/>
      <c r="C316" s="6"/>
      <c r="D316" s="8"/>
      <c r="E316" s="8"/>
      <c r="F316" s="4"/>
      <c r="G316" s="8"/>
      <c r="H316" s="8"/>
      <c r="I316" s="8"/>
      <c r="J316" s="13">
        <f>IF(AND(G316="Карта",H316="Оплачено"),F316,"")</f>
      </c>
      <c r="K316" s="14">
        <f>IF(AND(G316="Карта",H316="Не оплачено"),F316,"")</f>
      </c>
      <c r="L316" s="13">
        <f>IF(AND(G316="Наличные",H316="Оплачено"),F316,"")</f>
      </c>
      <c r="M316" s="14">
        <f>IF(AND(G316="Наличные",H316="Не оплачено"),F316,"")</f>
      </c>
      <c r="N316" s="13">
        <f>IF(AND(G316="Терминал",H316="Оплачено"),F316,"")</f>
      </c>
      <c r="O316" s="14">
        <f>IF(AND(G316="Терминал",H316="Не оплачено"),F316,"")</f>
      </c>
      <c r="P316" s="13">
        <f>IF(AND(G316="Перечисление",H316="Оплачено"),F316,"")</f>
      </c>
      <c r="Q316" s="14">
        <f>IF(AND(G316="Перечисление",H316="Не оплачено"),F316,"")</f>
      </c>
    </row>
    <row r="317">
      <c r="A317" s="9">
        <v>314</v>
      </c>
      <c r="B317" s="7"/>
      <c r="C317" s="6"/>
      <c r="D317" s="8"/>
      <c r="E317" s="8"/>
      <c r="F317" s="4"/>
      <c r="G317" s="8"/>
      <c r="H317" s="8"/>
      <c r="I317" s="8"/>
      <c r="J317" s="13">
        <f>IF(AND(G317="Карта",H317="Оплачено"),F317,"")</f>
      </c>
      <c r="K317" s="14">
        <f>IF(AND(G317="Карта",H317="Не оплачено"),F317,"")</f>
      </c>
      <c r="L317" s="13">
        <f>IF(AND(G317="Наличные",H317="Оплачено"),F317,"")</f>
      </c>
      <c r="M317" s="14">
        <f>IF(AND(G317="Наличные",H317="Не оплачено"),F317,"")</f>
      </c>
      <c r="N317" s="13">
        <f>IF(AND(G317="Терминал",H317="Оплачено"),F317,"")</f>
      </c>
      <c r="O317" s="14">
        <f>IF(AND(G317="Терминал",H317="Не оплачено"),F317,"")</f>
      </c>
      <c r="P317" s="13">
        <f>IF(AND(G317="Перечисление",H317="Оплачено"),F317,"")</f>
      </c>
      <c r="Q317" s="14">
        <f>IF(AND(G317="Перечисление",H317="Не оплачено"),F317,"")</f>
      </c>
    </row>
    <row r="318">
      <c r="A318" s="9">
        <v>315</v>
      </c>
      <c r="B318" s="7"/>
      <c r="C318" s="6"/>
      <c r="D318" s="8"/>
      <c r="E318" s="8"/>
      <c r="F318" s="4"/>
      <c r="G318" s="8"/>
      <c r="H318" s="8"/>
      <c r="I318" s="8"/>
      <c r="J318" s="13">
        <f>IF(AND(G318="Карта",H318="Оплачено"),F318,"")</f>
      </c>
      <c r="K318" s="14">
        <f>IF(AND(G318="Карта",H318="Не оплачено"),F318,"")</f>
      </c>
      <c r="L318" s="13">
        <f>IF(AND(G318="Наличные",H318="Оплачено"),F318,"")</f>
      </c>
      <c r="M318" s="14">
        <f>IF(AND(G318="Наличные",H318="Не оплачено"),F318,"")</f>
      </c>
      <c r="N318" s="13">
        <f>IF(AND(G318="Терминал",H318="Оплачено"),F318,"")</f>
      </c>
      <c r="O318" s="14">
        <f>IF(AND(G318="Терминал",H318="Не оплачено"),F318,"")</f>
      </c>
      <c r="P318" s="13">
        <f>IF(AND(G318="Перечисление",H318="Оплачено"),F318,"")</f>
      </c>
      <c r="Q318" s="14">
        <f>IF(AND(G318="Перечисление",H318="Не оплачено"),F318,"")</f>
      </c>
    </row>
    <row r="319">
      <c r="A319" s="9">
        <v>316</v>
      </c>
      <c r="B319" s="7"/>
      <c r="C319" s="6"/>
      <c r="D319" s="8"/>
      <c r="E319" s="8"/>
      <c r="F319" s="4"/>
      <c r="G319" s="8"/>
      <c r="H319" s="8"/>
      <c r="I319" s="8"/>
      <c r="J319" s="13">
        <f>IF(AND(G319="Карта",H319="Оплачено"),F319,"")</f>
      </c>
      <c r="K319" s="14">
        <f>IF(AND(G319="Карта",H319="Не оплачено"),F319,"")</f>
      </c>
      <c r="L319" s="13">
        <f>IF(AND(G319="Наличные",H319="Оплачено"),F319,"")</f>
      </c>
      <c r="M319" s="14">
        <f>IF(AND(G319="Наличные",H319="Не оплачено"),F319,"")</f>
      </c>
      <c r="N319" s="13">
        <f>IF(AND(G319="Терминал",H319="Оплачено"),F319,"")</f>
      </c>
      <c r="O319" s="14">
        <f>IF(AND(G319="Терминал",H319="Не оплачено"),F319,"")</f>
      </c>
      <c r="P319" s="13">
        <f>IF(AND(G319="Перечисление",H319="Оплачено"),F319,"")</f>
      </c>
      <c r="Q319" s="14">
        <f>IF(AND(G319="Перечисление",H319="Не оплачено"),F319,"")</f>
      </c>
    </row>
    <row r="320">
      <c r="A320" s="9">
        <v>317</v>
      </c>
      <c r="B320" s="7"/>
      <c r="C320" s="6"/>
      <c r="D320" s="8"/>
      <c r="E320" s="8"/>
      <c r="F320" s="4"/>
      <c r="G320" s="8"/>
      <c r="H320" s="8"/>
      <c r="I320" s="8"/>
      <c r="J320" s="13">
        <f>IF(AND(G320="Карта",H320="Оплачено"),F320,"")</f>
      </c>
      <c r="K320" s="14">
        <f>IF(AND(G320="Карта",H320="Не оплачено"),F320,"")</f>
      </c>
      <c r="L320" s="13">
        <f>IF(AND(G320="Наличные",H320="Оплачено"),F320,"")</f>
      </c>
      <c r="M320" s="14">
        <f>IF(AND(G320="Наличные",H320="Не оплачено"),F320,"")</f>
      </c>
      <c r="N320" s="13">
        <f>IF(AND(G320="Терминал",H320="Оплачено"),F320,"")</f>
      </c>
      <c r="O320" s="14">
        <f>IF(AND(G320="Терминал",H320="Не оплачено"),F320,"")</f>
      </c>
      <c r="P320" s="13">
        <f>IF(AND(G320="Перечисление",H320="Оплачено"),F320,"")</f>
      </c>
      <c r="Q320" s="14">
        <f>IF(AND(G320="Перечисление",H320="Не оплачено"),F320,"")</f>
      </c>
    </row>
    <row r="321">
      <c r="A321" s="9">
        <v>318</v>
      </c>
      <c r="B321" s="7"/>
      <c r="C321" s="6"/>
      <c r="D321" s="8"/>
      <c r="E321" s="8"/>
      <c r="F321" s="4"/>
      <c r="G321" s="8"/>
      <c r="H321" s="8"/>
      <c r="I321" s="8"/>
      <c r="J321" s="13">
        <f>IF(AND(G321="Карта",H321="Оплачено"),F321,"")</f>
      </c>
      <c r="K321" s="14">
        <f>IF(AND(G321="Карта",H321="Не оплачено"),F321,"")</f>
      </c>
      <c r="L321" s="13">
        <f>IF(AND(G321="Наличные",H321="Оплачено"),F321,"")</f>
      </c>
      <c r="M321" s="14">
        <f>IF(AND(G321="Наличные",H321="Не оплачено"),F321,"")</f>
      </c>
      <c r="N321" s="13">
        <f>IF(AND(G321="Терминал",H321="Оплачено"),F321,"")</f>
      </c>
      <c r="O321" s="14">
        <f>IF(AND(G321="Терминал",H321="Не оплачено"),F321,"")</f>
      </c>
      <c r="P321" s="13">
        <f>IF(AND(G321="Перечисление",H321="Оплачено"),F321,"")</f>
      </c>
      <c r="Q321" s="14">
        <f>IF(AND(G321="Перечисление",H321="Не оплачено"),F321,"")</f>
      </c>
    </row>
    <row r="322">
      <c r="A322" s="9">
        <v>319</v>
      </c>
      <c r="B322" s="7"/>
      <c r="C322" s="6"/>
      <c r="D322" s="8"/>
      <c r="E322" s="8"/>
      <c r="F322" s="4"/>
      <c r="G322" s="8"/>
      <c r="H322" s="8"/>
      <c r="I322" s="8"/>
      <c r="J322" s="13">
        <f>IF(AND(G322="Карта",H322="Оплачено"),F322,"")</f>
      </c>
      <c r="K322" s="14">
        <f>IF(AND(G322="Карта",H322="Не оплачено"),F322,"")</f>
      </c>
      <c r="L322" s="13">
        <f>IF(AND(G322="Наличные",H322="Оплачено"),F322,"")</f>
      </c>
      <c r="M322" s="14">
        <f>IF(AND(G322="Наличные",H322="Не оплачено"),F322,"")</f>
      </c>
      <c r="N322" s="13">
        <f>IF(AND(G322="Терминал",H322="Оплачено"),F322,"")</f>
      </c>
      <c r="O322" s="14">
        <f>IF(AND(G322="Терминал",H322="Не оплачено"),F322,"")</f>
      </c>
      <c r="P322" s="13">
        <f>IF(AND(G322="Перечисление",H322="Оплачено"),F322,"")</f>
      </c>
      <c r="Q322" s="14">
        <f>IF(AND(G322="Перечисление",H322="Не оплачено"),F322,"")</f>
      </c>
    </row>
    <row r="323">
      <c r="A323" s="9">
        <v>320</v>
      </c>
      <c r="B323" s="7"/>
      <c r="C323" s="6"/>
      <c r="D323" s="8"/>
      <c r="E323" s="8"/>
      <c r="F323" s="4"/>
      <c r="G323" s="8"/>
      <c r="H323" s="8"/>
      <c r="I323" s="8"/>
      <c r="J323" s="13">
        <f>IF(AND(G323="Карта",H323="Оплачено"),F323,"")</f>
      </c>
      <c r="K323" s="14">
        <f>IF(AND(G323="Карта",H323="Не оплачено"),F323,"")</f>
      </c>
      <c r="L323" s="13">
        <f>IF(AND(G323="Наличные",H323="Оплачено"),F323,"")</f>
      </c>
      <c r="M323" s="14">
        <f>IF(AND(G323="Наличные",H323="Не оплачено"),F323,"")</f>
      </c>
      <c r="N323" s="13">
        <f>IF(AND(G323="Терминал",H323="Оплачено"),F323,"")</f>
      </c>
      <c r="O323" s="14">
        <f>IF(AND(G323="Терминал",H323="Не оплачено"),F323,"")</f>
      </c>
      <c r="P323" s="13">
        <f>IF(AND(G323="Перечисление",H323="Оплачено"),F323,"")</f>
      </c>
      <c r="Q323" s="14">
        <f>IF(AND(G323="Перечисление",H323="Не оплачено"),F323,"")</f>
      </c>
    </row>
    <row r="324">
      <c r="A324" s="9">
        <v>321</v>
      </c>
      <c r="B324" s="7"/>
      <c r="C324" s="6"/>
      <c r="D324" s="8"/>
      <c r="E324" s="8"/>
      <c r="F324" s="4"/>
      <c r="G324" s="8"/>
      <c r="H324" s="8"/>
      <c r="I324" s="8"/>
      <c r="J324" s="13">
        <f>IF(AND(G324="Карта",H324="Оплачено"),F324,"")</f>
      </c>
      <c r="K324" s="14">
        <f>IF(AND(G324="Карта",H324="Не оплачено"),F324,"")</f>
      </c>
      <c r="L324" s="13">
        <f>IF(AND(G324="Наличные",H324="Оплачено"),F324,"")</f>
      </c>
      <c r="M324" s="14">
        <f>IF(AND(G324="Наличные",H324="Не оплачено"),F324,"")</f>
      </c>
      <c r="N324" s="13">
        <f>IF(AND(G324="Терминал",H324="Оплачено"),F324,"")</f>
      </c>
      <c r="O324" s="14">
        <f>IF(AND(G324="Терминал",H324="Не оплачено"),F324,"")</f>
      </c>
      <c r="P324" s="13">
        <f>IF(AND(G324="Перечисление",H324="Оплачено"),F324,"")</f>
      </c>
      <c r="Q324" s="14">
        <f>IF(AND(G324="Перечисление",H324="Не оплачено"),F324,"")</f>
      </c>
    </row>
    <row r="325">
      <c r="A325" s="9">
        <v>322</v>
      </c>
      <c r="B325" s="7"/>
      <c r="C325" s="6"/>
      <c r="D325" s="8"/>
      <c r="E325" s="8"/>
      <c r="F325" s="4"/>
      <c r="G325" s="8"/>
      <c r="H325" s="8"/>
      <c r="I325" s="8"/>
      <c r="J325" s="13">
        <f>IF(AND(G325="Карта",H325="Оплачено"),F325,"")</f>
      </c>
      <c r="K325" s="14">
        <f>IF(AND(G325="Карта",H325="Не оплачено"),F325,"")</f>
      </c>
      <c r="L325" s="13">
        <f>IF(AND(G325="Наличные",H325="Оплачено"),F325,"")</f>
      </c>
      <c r="M325" s="14">
        <f>IF(AND(G325="Наличные",H325="Не оплачено"),F325,"")</f>
      </c>
      <c r="N325" s="13">
        <f>IF(AND(G325="Терминал",H325="Оплачено"),F325,"")</f>
      </c>
      <c r="O325" s="14">
        <f>IF(AND(G325="Терминал",H325="Не оплачено"),F325,"")</f>
      </c>
      <c r="P325" s="13">
        <f>IF(AND(G325="Перечисление",H325="Оплачено"),F325,"")</f>
      </c>
      <c r="Q325" s="14">
        <f>IF(AND(G325="Перечисление",H325="Не оплачено"),F325,"")</f>
      </c>
    </row>
    <row r="326">
      <c r="A326" s="9">
        <v>323</v>
      </c>
      <c r="B326" s="7"/>
      <c r="C326" s="6"/>
      <c r="D326" s="8"/>
      <c r="E326" s="8"/>
      <c r="F326" s="4"/>
      <c r="G326" s="8"/>
      <c r="H326" s="8"/>
      <c r="I326" s="8"/>
      <c r="J326" s="13">
        <f>IF(AND(G326="Карта",H326="Оплачено"),F326,"")</f>
      </c>
      <c r="K326" s="14">
        <f>IF(AND(G326="Карта",H326="Не оплачено"),F326,"")</f>
      </c>
      <c r="L326" s="13">
        <f>IF(AND(G326="Наличные",H326="Оплачено"),F326,"")</f>
      </c>
      <c r="M326" s="14">
        <f>IF(AND(G326="Наличные",H326="Не оплачено"),F326,"")</f>
      </c>
      <c r="N326" s="13">
        <f>IF(AND(G326="Терминал",H326="Оплачено"),F326,"")</f>
      </c>
      <c r="O326" s="14">
        <f>IF(AND(G326="Терминал",H326="Не оплачено"),F326,"")</f>
      </c>
      <c r="P326" s="13">
        <f>IF(AND(G326="Перечисление",H326="Оплачено"),F326,"")</f>
      </c>
      <c r="Q326" s="14">
        <f>IF(AND(G326="Перечисление",H326="Не оплачено"),F326,"")</f>
      </c>
    </row>
    <row r="327">
      <c r="A327" s="9">
        <v>324</v>
      </c>
      <c r="B327" s="7"/>
      <c r="C327" s="6"/>
      <c r="D327" s="8"/>
      <c r="E327" s="8"/>
      <c r="F327" s="4"/>
      <c r="G327" s="8"/>
      <c r="H327" s="8"/>
      <c r="I327" s="8"/>
      <c r="J327" s="13">
        <f>IF(AND(G327="Карта",H327="Оплачено"),F327,"")</f>
      </c>
      <c r="K327" s="14">
        <f>IF(AND(G327="Карта",H327="Не оплачено"),F327,"")</f>
      </c>
      <c r="L327" s="13">
        <f>IF(AND(G327="Наличные",H327="Оплачено"),F327,"")</f>
      </c>
      <c r="M327" s="14">
        <f>IF(AND(G327="Наличные",H327="Не оплачено"),F327,"")</f>
      </c>
      <c r="N327" s="13">
        <f>IF(AND(G327="Терминал",H327="Оплачено"),F327,"")</f>
      </c>
      <c r="O327" s="14">
        <f>IF(AND(G327="Терминал",H327="Не оплачено"),F327,"")</f>
      </c>
      <c r="P327" s="13">
        <f>IF(AND(G327="Перечисление",H327="Оплачено"),F327,"")</f>
      </c>
      <c r="Q327" s="14">
        <f>IF(AND(G327="Перечисление",H327="Не оплачено"),F327,"")</f>
      </c>
    </row>
    <row r="328">
      <c r="A328" s="9">
        <v>325</v>
      </c>
      <c r="B328" s="7"/>
      <c r="C328" s="6"/>
      <c r="D328" s="8"/>
      <c r="E328" s="8"/>
      <c r="F328" s="4"/>
      <c r="G328" s="8"/>
      <c r="H328" s="8"/>
      <c r="I328" s="8"/>
      <c r="J328" s="13">
        <f>IF(AND(G328="Карта",H328="Оплачено"),F328,"")</f>
      </c>
      <c r="K328" s="14">
        <f>IF(AND(G328="Карта",H328="Не оплачено"),F328,"")</f>
      </c>
      <c r="L328" s="13">
        <f>IF(AND(G328="Наличные",H328="Оплачено"),F328,"")</f>
      </c>
      <c r="M328" s="14">
        <f>IF(AND(G328="Наличные",H328="Не оплачено"),F328,"")</f>
      </c>
      <c r="N328" s="13">
        <f>IF(AND(G328="Терминал",H328="Оплачено"),F328,"")</f>
      </c>
      <c r="O328" s="14">
        <f>IF(AND(G328="Терминал",H328="Не оплачено"),F328,"")</f>
      </c>
      <c r="P328" s="13">
        <f>IF(AND(G328="Перечисление",H328="Оплачено"),F328,"")</f>
      </c>
      <c r="Q328" s="14">
        <f>IF(AND(G328="Перечисление",H328="Не оплачено"),F328,"")</f>
      </c>
    </row>
    <row r="329">
      <c r="A329" s="9">
        <v>326</v>
      </c>
      <c r="B329" s="7"/>
      <c r="C329" s="6"/>
      <c r="D329" s="8"/>
      <c r="E329" s="8"/>
      <c r="F329" s="4"/>
      <c r="G329" s="8"/>
      <c r="H329" s="8"/>
      <c r="I329" s="8"/>
      <c r="J329" s="13">
        <f>IF(AND(G329="Карта",H329="Оплачено"),F329,"")</f>
      </c>
      <c r="K329" s="14">
        <f>IF(AND(G329="Карта",H329="Не оплачено"),F329,"")</f>
      </c>
      <c r="L329" s="13">
        <f>IF(AND(G329="Наличные",H329="Оплачено"),F329,"")</f>
      </c>
      <c r="M329" s="14">
        <f>IF(AND(G329="Наличные",H329="Не оплачено"),F329,"")</f>
      </c>
      <c r="N329" s="13">
        <f>IF(AND(G329="Терминал",H329="Оплачено"),F329,"")</f>
      </c>
      <c r="O329" s="14">
        <f>IF(AND(G329="Терминал",H329="Не оплачено"),F329,"")</f>
      </c>
      <c r="P329" s="13">
        <f>IF(AND(G329="Перечисление",H329="Оплачено"),F329,"")</f>
      </c>
      <c r="Q329" s="14">
        <f>IF(AND(G329="Перечисление",H329="Не оплачено"),F329,"")</f>
      </c>
    </row>
    <row r="330">
      <c r="A330" s="9">
        <v>327</v>
      </c>
      <c r="B330" s="7"/>
      <c r="C330" s="6"/>
      <c r="D330" s="8"/>
      <c r="E330" s="8"/>
      <c r="F330" s="4"/>
      <c r="G330" s="8"/>
      <c r="H330" s="8"/>
      <c r="I330" s="8"/>
      <c r="J330" s="13">
        <f>IF(AND(G330="Карта",H330="Оплачено"),F330,"")</f>
      </c>
      <c r="K330" s="14">
        <f>IF(AND(G330="Карта",H330="Не оплачено"),F330,"")</f>
      </c>
      <c r="L330" s="13">
        <f>IF(AND(G330="Наличные",H330="Оплачено"),F330,"")</f>
      </c>
      <c r="M330" s="14">
        <f>IF(AND(G330="Наличные",H330="Не оплачено"),F330,"")</f>
      </c>
      <c r="N330" s="13">
        <f>IF(AND(G330="Терминал",H330="Оплачено"),F330,"")</f>
      </c>
      <c r="O330" s="14">
        <f>IF(AND(G330="Терминал",H330="Не оплачено"),F330,"")</f>
      </c>
      <c r="P330" s="13">
        <f>IF(AND(G330="Перечисление",H330="Оплачено"),F330,"")</f>
      </c>
      <c r="Q330" s="14">
        <f>IF(AND(G330="Перечисление",H330="Не оплачено"),F330,"")</f>
      </c>
    </row>
    <row r="331">
      <c r="A331" s="9">
        <v>328</v>
      </c>
      <c r="B331" s="7"/>
      <c r="C331" s="6"/>
      <c r="D331" s="8"/>
      <c r="E331" s="8"/>
      <c r="F331" s="4"/>
      <c r="G331" s="8"/>
      <c r="H331" s="8"/>
      <c r="I331" s="8"/>
      <c r="J331" s="13">
        <f>IF(AND(G331="Карта",H331="Оплачено"),F331,"")</f>
      </c>
      <c r="K331" s="14">
        <f>IF(AND(G331="Карта",H331="Не оплачено"),F331,"")</f>
      </c>
      <c r="L331" s="13">
        <f>IF(AND(G331="Наличные",H331="Оплачено"),F331,"")</f>
      </c>
      <c r="M331" s="14">
        <f>IF(AND(G331="Наличные",H331="Не оплачено"),F331,"")</f>
      </c>
      <c r="N331" s="13">
        <f>IF(AND(G331="Терминал",H331="Оплачено"),F331,"")</f>
      </c>
      <c r="O331" s="14">
        <f>IF(AND(G331="Терминал",H331="Не оплачено"),F331,"")</f>
      </c>
      <c r="P331" s="13">
        <f>IF(AND(G331="Перечисление",H331="Оплачено"),F331,"")</f>
      </c>
      <c r="Q331" s="14">
        <f>IF(AND(G331="Перечисление",H331="Не оплачено"),F331,"")</f>
      </c>
    </row>
    <row r="332">
      <c r="A332" s="9">
        <v>329</v>
      </c>
      <c r="B332" s="7"/>
      <c r="C332" s="6"/>
      <c r="D332" s="8"/>
      <c r="E332" s="8"/>
      <c r="F332" s="4"/>
      <c r="G332" s="8"/>
      <c r="H332" s="8"/>
      <c r="I332" s="8"/>
      <c r="J332" s="13">
        <f>IF(AND(G332="Карта",H332="Оплачено"),F332,"")</f>
      </c>
      <c r="K332" s="14">
        <f>IF(AND(G332="Карта",H332="Не оплачено"),F332,"")</f>
      </c>
      <c r="L332" s="13">
        <f>IF(AND(G332="Наличные",H332="Оплачено"),F332,"")</f>
      </c>
      <c r="M332" s="14">
        <f>IF(AND(G332="Наличные",H332="Не оплачено"),F332,"")</f>
      </c>
      <c r="N332" s="13">
        <f>IF(AND(G332="Терминал",H332="Оплачено"),F332,"")</f>
      </c>
      <c r="O332" s="14">
        <f>IF(AND(G332="Терминал",H332="Не оплачено"),F332,"")</f>
      </c>
      <c r="P332" s="13">
        <f>IF(AND(G332="Перечисление",H332="Оплачено"),F332,"")</f>
      </c>
      <c r="Q332" s="14">
        <f>IF(AND(G332="Перечисление",H332="Не оплачено"),F332,"")</f>
      </c>
    </row>
    <row r="333">
      <c r="A333" s="9">
        <v>330</v>
      </c>
      <c r="B333" s="7"/>
      <c r="C333" s="6"/>
      <c r="D333" s="8"/>
      <c r="E333" s="8"/>
      <c r="F333" s="4"/>
      <c r="G333" s="8"/>
      <c r="H333" s="8"/>
      <c r="I333" s="8"/>
      <c r="J333" s="13">
        <f>IF(AND(G333="Карта",H333="Оплачено"),F333,"")</f>
      </c>
      <c r="K333" s="14">
        <f>IF(AND(G333="Карта",H333="Не оплачено"),F333,"")</f>
      </c>
      <c r="L333" s="13">
        <f>IF(AND(G333="Наличные",H333="Оплачено"),F333,"")</f>
      </c>
      <c r="M333" s="14">
        <f>IF(AND(G333="Наличные",H333="Не оплачено"),F333,"")</f>
      </c>
      <c r="N333" s="13">
        <f>IF(AND(G333="Терминал",H333="Оплачено"),F333,"")</f>
      </c>
      <c r="O333" s="14">
        <f>IF(AND(G333="Терминал",H333="Не оплачено"),F333,"")</f>
      </c>
      <c r="P333" s="13">
        <f>IF(AND(G333="Перечисление",H333="Оплачено"),F333,"")</f>
      </c>
      <c r="Q333" s="14">
        <f>IF(AND(G333="Перечисление",H333="Не оплачено"),F333,"")</f>
      </c>
    </row>
    <row r="334">
      <c r="A334" s="9">
        <v>331</v>
      </c>
      <c r="B334" s="7"/>
      <c r="C334" s="6"/>
      <c r="D334" s="8"/>
      <c r="E334" s="8"/>
      <c r="F334" s="4"/>
      <c r="G334" s="8"/>
      <c r="H334" s="8"/>
      <c r="I334" s="8"/>
      <c r="J334" s="13">
        <f>IF(AND(G334="Карта",H334="Оплачено"),F334,"")</f>
      </c>
      <c r="K334" s="14">
        <f>IF(AND(G334="Карта",H334="Не оплачено"),F334,"")</f>
      </c>
      <c r="L334" s="13">
        <f>IF(AND(G334="Наличные",H334="Оплачено"),F334,"")</f>
      </c>
      <c r="M334" s="14">
        <f>IF(AND(G334="Наличные",H334="Не оплачено"),F334,"")</f>
      </c>
      <c r="N334" s="13">
        <f>IF(AND(G334="Терминал",H334="Оплачено"),F334,"")</f>
      </c>
      <c r="O334" s="14">
        <f>IF(AND(G334="Терминал",H334="Не оплачено"),F334,"")</f>
      </c>
      <c r="P334" s="13">
        <f>IF(AND(G334="Перечисление",H334="Оплачено"),F334,"")</f>
      </c>
      <c r="Q334" s="14">
        <f>IF(AND(G334="Перечисление",H334="Не оплачено"),F334,"")</f>
      </c>
    </row>
    <row r="335">
      <c r="A335" s="9">
        <v>332</v>
      </c>
      <c r="B335" s="7"/>
      <c r="C335" s="6"/>
      <c r="D335" s="8"/>
      <c r="E335" s="8"/>
      <c r="F335" s="4"/>
      <c r="G335" s="8"/>
      <c r="H335" s="8"/>
      <c r="I335" s="8"/>
      <c r="J335" s="13">
        <f>IF(AND(G335="Карта",H335="Оплачено"),F335,"")</f>
      </c>
      <c r="K335" s="14">
        <f>IF(AND(G335="Карта",H335="Не оплачено"),F335,"")</f>
      </c>
      <c r="L335" s="13">
        <f>IF(AND(G335="Наличные",H335="Оплачено"),F335,"")</f>
      </c>
      <c r="M335" s="14">
        <f>IF(AND(G335="Наличные",H335="Не оплачено"),F335,"")</f>
      </c>
      <c r="N335" s="13">
        <f>IF(AND(G335="Терминал",H335="Оплачено"),F335,"")</f>
      </c>
      <c r="O335" s="14">
        <f>IF(AND(G335="Терминал",H335="Не оплачено"),F335,"")</f>
      </c>
      <c r="P335" s="13">
        <f>IF(AND(G335="Перечисление",H335="Оплачено"),F335,"")</f>
      </c>
      <c r="Q335" s="14">
        <f>IF(AND(G335="Перечисление",H335="Не оплачено"),F335,"")</f>
      </c>
    </row>
    <row r="336">
      <c r="A336" s="9">
        <v>333</v>
      </c>
      <c r="B336" s="7"/>
      <c r="C336" s="6"/>
      <c r="D336" s="8"/>
      <c r="E336" s="8"/>
      <c r="F336" s="4"/>
      <c r="G336" s="8"/>
      <c r="H336" s="8"/>
      <c r="I336" s="8"/>
      <c r="J336" s="13">
        <f>IF(AND(G336="Карта",H336="Оплачено"),F336,"")</f>
      </c>
      <c r="K336" s="14">
        <f>IF(AND(G336="Карта",H336="Не оплачено"),F336,"")</f>
      </c>
      <c r="L336" s="13">
        <f>IF(AND(G336="Наличные",H336="Оплачено"),F336,"")</f>
      </c>
      <c r="M336" s="14">
        <f>IF(AND(G336="Наличные",H336="Не оплачено"),F336,"")</f>
      </c>
      <c r="N336" s="13">
        <f>IF(AND(G336="Терминал",H336="Оплачено"),F336,"")</f>
      </c>
      <c r="O336" s="14">
        <f>IF(AND(G336="Терминал",H336="Не оплачено"),F336,"")</f>
      </c>
      <c r="P336" s="13">
        <f>IF(AND(G336="Перечисление",H336="Оплачено"),F336,"")</f>
      </c>
      <c r="Q336" s="14">
        <f>IF(AND(G336="Перечисление",H336="Не оплачено"),F336,"")</f>
      </c>
    </row>
    <row r="337">
      <c r="A337" s="9">
        <v>334</v>
      </c>
      <c r="B337" s="7"/>
      <c r="C337" s="6"/>
      <c r="D337" s="8"/>
      <c r="E337" s="8"/>
      <c r="F337" s="4"/>
      <c r="G337" s="8"/>
      <c r="H337" s="8"/>
      <c r="I337" s="8"/>
      <c r="J337" s="13">
        <f>IF(AND(G337="Карта",H337="Оплачено"),F337,"")</f>
      </c>
      <c r="K337" s="14">
        <f>IF(AND(G337="Карта",H337="Не оплачено"),F337,"")</f>
      </c>
      <c r="L337" s="13">
        <f>IF(AND(G337="Наличные",H337="Оплачено"),F337,"")</f>
      </c>
      <c r="M337" s="14">
        <f>IF(AND(G337="Наличные",H337="Не оплачено"),F337,"")</f>
      </c>
      <c r="N337" s="13">
        <f>IF(AND(G337="Терминал",H337="Оплачено"),F337,"")</f>
      </c>
      <c r="O337" s="14">
        <f>IF(AND(G337="Терминал",H337="Не оплачено"),F337,"")</f>
      </c>
      <c r="P337" s="13">
        <f>IF(AND(G337="Перечисление",H337="Оплачено"),F337,"")</f>
      </c>
      <c r="Q337" s="14">
        <f>IF(AND(G337="Перечисление",H337="Не оплачено"),F337,"")</f>
      </c>
    </row>
    <row r="338">
      <c r="A338" s="9">
        <v>335</v>
      </c>
      <c r="B338" s="7"/>
      <c r="C338" s="6"/>
      <c r="D338" s="8"/>
      <c r="E338" s="8"/>
      <c r="F338" s="4"/>
      <c r="G338" s="8"/>
      <c r="H338" s="8"/>
      <c r="I338" s="8"/>
      <c r="J338" s="13">
        <f>IF(AND(G338="Карта",H338="Оплачено"),F338,"")</f>
      </c>
      <c r="K338" s="14">
        <f>IF(AND(G338="Карта",H338="Не оплачено"),F338,"")</f>
      </c>
      <c r="L338" s="13">
        <f>IF(AND(G338="Наличные",H338="Оплачено"),F338,"")</f>
      </c>
      <c r="M338" s="14">
        <f>IF(AND(G338="Наличные",H338="Не оплачено"),F338,"")</f>
      </c>
      <c r="N338" s="13">
        <f>IF(AND(G338="Терминал",H338="Оплачено"),F338,"")</f>
      </c>
      <c r="O338" s="14">
        <f>IF(AND(G338="Терминал",H338="Не оплачено"),F338,"")</f>
      </c>
      <c r="P338" s="13">
        <f>IF(AND(G338="Перечисление",H338="Оплачено"),F338,"")</f>
      </c>
      <c r="Q338" s="14">
        <f>IF(AND(G338="Перечисление",H338="Не оплачено"),F338,"")</f>
      </c>
    </row>
    <row r="339">
      <c r="A339" s="9">
        <v>336</v>
      </c>
      <c r="B339" s="7"/>
      <c r="C339" s="6"/>
      <c r="D339" s="8"/>
      <c r="E339" s="8"/>
      <c r="F339" s="4"/>
      <c r="G339" s="8"/>
      <c r="H339" s="8"/>
      <c r="I339" s="8"/>
      <c r="J339" s="13">
        <f>IF(AND(G339="Карта",H339="Оплачено"),F339,"")</f>
      </c>
      <c r="K339" s="14">
        <f>IF(AND(G339="Карта",H339="Не оплачено"),F339,"")</f>
      </c>
      <c r="L339" s="13">
        <f>IF(AND(G339="Наличные",H339="Оплачено"),F339,"")</f>
      </c>
      <c r="M339" s="14">
        <f>IF(AND(G339="Наличные",H339="Не оплачено"),F339,"")</f>
      </c>
      <c r="N339" s="13">
        <f>IF(AND(G339="Терминал",H339="Оплачено"),F339,"")</f>
      </c>
      <c r="O339" s="14">
        <f>IF(AND(G339="Терминал",H339="Не оплачено"),F339,"")</f>
      </c>
      <c r="P339" s="13">
        <f>IF(AND(G339="Перечисление",H339="Оплачено"),F339,"")</f>
      </c>
      <c r="Q339" s="14">
        <f>IF(AND(G339="Перечисление",H339="Не оплачено"),F339,"")</f>
      </c>
    </row>
    <row r="340">
      <c r="A340" s="9">
        <v>337</v>
      </c>
      <c r="B340" s="7"/>
      <c r="C340" s="6"/>
      <c r="D340" s="8"/>
      <c r="E340" s="8"/>
      <c r="F340" s="4"/>
      <c r="G340" s="8"/>
      <c r="H340" s="8"/>
      <c r="I340" s="8"/>
      <c r="J340" s="13">
        <f>IF(AND(G340="Карта",H340="Оплачено"),F340,"")</f>
      </c>
      <c r="K340" s="14">
        <f>IF(AND(G340="Карта",H340="Не оплачено"),F340,"")</f>
      </c>
      <c r="L340" s="13">
        <f>IF(AND(G340="Наличные",H340="Оплачено"),F340,"")</f>
      </c>
      <c r="M340" s="14">
        <f>IF(AND(G340="Наличные",H340="Не оплачено"),F340,"")</f>
      </c>
      <c r="N340" s="13">
        <f>IF(AND(G340="Терминал",H340="Оплачено"),F340,"")</f>
      </c>
      <c r="O340" s="14">
        <f>IF(AND(G340="Терминал",H340="Не оплачено"),F340,"")</f>
      </c>
      <c r="P340" s="13">
        <f>IF(AND(G340="Перечисление",H340="Оплачено"),F340,"")</f>
      </c>
      <c r="Q340" s="14">
        <f>IF(AND(G340="Перечисление",H340="Не оплачено"),F340,"")</f>
      </c>
    </row>
    <row r="341">
      <c r="A341" s="9">
        <v>338</v>
      </c>
      <c r="B341" s="7"/>
      <c r="C341" s="6"/>
      <c r="D341" s="8"/>
      <c r="E341" s="8"/>
      <c r="F341" s="4"/>
      <c r="G341" s="8"/>
      <c r="H341" s="8"/>
      <c r="I341" s="8"/>
      <c r="J341" s="13">
        <f>IF(AND(G341="Карта",H341="Оплачено"),F341,"")</f>
      </c>
      <c r="K341" s="14">
        <f>IF(AND(G341="Карта",H341="Не оплачено"),F341,"")</f>
      </c>
      <c r="L341" s="13">
        <f>IF(AND(G341="Наличные",H341="Оплачено"),F341,"")</f>
      </c>
      <c r="M341" s="14">
        <f>IF(AND(G341="Наличные",H341="Не оплачено"),F341,"")</f>
      </c>
      <c r="N341" s="13">
        <f>IF(AND(G341="Терминал",H341="Оплачено"),F341,"")</f>
      </c>
      <c r="O341" s="14">
        <f>IF(AND(G341="Терминал",H341="Не оплачено"),F341,"")</f>
      </c>
      <c r="P341" s="13">
        <f>IF(AND(G341="Перечисление",H341="Оплачено"),F341,"")</f>
      </c>
      <c r="Q341" s="14">
        <f>IF(AND(G341="Перечисление",H341="Не оплачено"),F341,"")</f>
      </c>
    </row>
    <row r="342">
      <c r="A342" s="9">
        <v>339</v>
      </c>
      <c r="B342" s="7"/>
      <c r="C342" s="6"/>
      <c r="D342" s="8"/>
      <c r="E342" s="8"/>
      <c r="F342" s="4"/>
      <c r="G342" s="8"/>
      <c r="H342" s="8"/>
      <c r="I342" s="8"/>
      <c r="J342" s="13">
        <f>IF(AND(G342="Карта",H342="Оплачено"),F342,"")</f>
      </c>
      <c r="K342" s="14">
        <f>IF(AND(G342="Карта",H342="Не оплачено"),F342,"")</f>
      </c>
      <c r="L342" s="13">
        <f>IF(AND(G342="Наличные",H342="Оплачено"),F342,"")</f>
      </c>
      <c r="M342" s="14">
        <f>IF(AND(G342="Наличные",H342="Не оплачено"),F342,"")</f>
      </c>
      <c r="N342" s="13">
        <f>IF(AND(G342="Терминал",H342="Оплачено"),F342,"")</f>
      </c>
      <c r="O342" s="14">
        <f>IF(AND(G342="Терминал",H342="Не оплачено"),F342,"")</f>
      </c>
      <c r="P342" s="13">
        <f>IF(AND(G342="Перечисление",H342="Оплачено"),F342,"")</f>
      </c>
      <c r="Q342" s="14">
        <f>IF(AND(G342="Перечисление",H342="Не оплачено"),F342,"")</f>
      </c>
    </row>
    <row r="343">
      <c r="A343" s="9">
        <v>340</v>
      </c>
      <c r="B343" s="7"/>
      <c r="C343" s="6"/>
      <c r="D343" s="8"/>
      <c r="E343" s="8"/>
      <c r="F343" s="4"/>
      <c r="G343" s="8"/>
      <c r="H343" s="8"/>
      <c r="I343" s="8"/>
      <c r="J343" s="13">
        <f>IF(AND(G343="Карта",H343="Оплачено"),F343,"")</f>
      </c>
      <c r="K343" s="14">
        <f>IF(AND(G343="Карта",H343="Не оплачено"),F343,"")</f>
      </c>
      <c r="L343" s="13">
        <f>IF(AND(G343="Наличные",H343="Оплачено"),F343,"")</f>
      </c>
      <c r="M343" s="14">
        <f>IF(AND(G343="Наличные",H343="Не оплачено"),F343,"")</f>
      </c>
      <c r="N343" s="13">
        <f>IF(AND(G343="Терминал",H343="Оплачено"),F343,"")</f>
      </c>
      <c r="O343" s="14">
        <f>IF(AND(G343="Терминал",H343="Не оплачено"),F343,"")</f>
      </c>
      <c r="P343" s="13">
        <f>IF(AND(G343="Перечисление",H343="Оплачено"),F343,"")</f>
      </c>
      <c r="Q343" s="14">
        <f>IF(AND(G343="Перечисление",H343="Не оплачено"),F343,"")</f>
      </c>
    </row>
    <row r="344">
      <c r="A344" s="9">
        <v>341</v>
      </c>
      <c r="B344" s="7"/>
      <c r="C344" s="6"/>
      <c r="D344" s="8"/>
      <c r="E344" s="8"/>
      <c r="F344" s="4"/>
      <c r="G344" s="8"/>
      <c r="H344" s="8"/>
      <c r="I344" s="8"/>
      <c r="J344" s="13">
        <f>IF(AND(G344="Карта",H344="Оплачено"),F344,"")</f>
      </c>
      <c r="K344" s="14">
        <f>IF(AND(G344="Карта",H344="Не оплачено"),F344,"")</f>
      </c>
      <c r="L344" s="13">
        <f>IF(AND(G344="Наличные",H344="Оплачено"),F344,"")</f>
      </c>
      <c r="M344" s="14">
        <f>IF(AND(G344="Наличные",H344="Не оплачено"),F344,"")</f>
      </c>
      <c r="N344" s="13">
        <f>IF(AND(G344="Терминал",H344="Оплачено"),F344,"")</f>
      </c>
      <c r="O344" s="14">
        <f>IF(AND(G344="Терминал",H344="Не оплачено"),F344,"")</f>
      </c>
      <c r="P344" s="13">
        <f>IF(AND(G344="Перечисление",H344="Оплачено"),F344,"")</f>
      </c>
      <c r="Q344" s="14">
        <f>IF(AND(G344="Перечисление",H344="Не оплачено"),F344,"")</f>
      </c>
    </row>
    <row r="345">
      <c r="A345" s="9">
        <v>342</v>
      </c>
      <c r="B345" s="7"/>
      <c r="C345" s="6"/>
      <c r="D345" s="8"/>
      <c r="E345" s="8"/>
      <c r="F345" s="4"/>
      <c r="G345" s="8"/>
      <c r="H345" s="8"/>
      <c r="I345" s="8"/>
      <c r="J345" s="13">
        <f>IF(AND(G345="Карта",H345="Оплачено"),F345,"")</f>
      </c>
      <c r="K345" s="14">
        <f>IF(AND(G345="Карта",H345="Не оплачено"),F345,"")</f>
      </c>
      <c r="L345" s="13">
        <f>IF(AND(G345="Наличные",H345="Оплачено"),F345,"")</f>
      </c>
      <c r="M345" s="14">
        <f>IF(AND(G345="Наличные",H345="Не оплачено"),F345,"")</f>
      </c>
      <c r="N345" s="13">
        <f>IF(AND(G345="Терминал",H345="Оплачено"),F345,"")</f>
      </c>
      <c r="O345" s="14">
        <f>IF(AND(G345="Терминал",H345="Не оплачено"),F345,"")</f>
      </c>
      <c r="P345" s="13">
        <f>IF(AND(G345="Перечисление",H345="Оплачено"),F345,"")</f>
      </c>
      <c r="Q345" s="14">
        <f>IF(AND(G345="Перечисление",H345="Не оплачено"),F345,"")</f>
      </c>
    </row>
    <row r="346">
      <c r="A346" s="9">
        <v>343</v>
      </c>
      <c r="B346" s="7"/>
      <c r="C346" s="6"/>
      <c r="D346" s="8"/>
      <c r="E346" s="8"/>
      <c r="F346" s="4"/>
      <c r="G346" s="8"/>
      <c r="H346" s="8"/>
      <c r="I346" s="8"/>
      <c r="J346" s="13">
        <f>IF(AND(G346="Карта",H346="Оплачено"),F346,"")</f>
      </c>
      <c r="K346" s="14">
        <f>IF(AND(G346="Карта",H346="Не оплачено"),F346,"")</f>
      </c>
      <c r="L346" s="13">
        <f>IF(AND(G346="Наличные",H346="Оплачено"),F346,"")</f>
      </c>
      <c r="M346" s="14">
        <f>IF(AND(G346="Наличные",H346="Не оплачено"),F346,"")</f>
      </c>
      <c r="N346" s="13">
        <f>IF(AND(G346="Терминал",H346="Оплачено"),F346,"")</f>
      </c>
      <c r="O346" s="14">
        <f>IF(AND(G346="Терминал",H346="Не оплачено"),F346,"")</f>
      </c>
      <c r="P346" s="13">
        <f>IF(AND(G346="Перечисление",H346="Оплачено"),F346,"")</f>
      </c>
      <c r="Q346" s="14">
        <f>IF(AND(G346="Перечисление",H346="Не оплачено"),F346,"")</f>
      </c>
    </row>
    <row r="347">
      <c r="A347" s="9">
        <v>344</v>
      </c>
      <c r="B347" s="7"/>
      <c r="C347" s="6"/>
      <c r="D347" s="8"/>
      <c r="E347" s="8"/>
      <c r="F347" s="4"/>
      <c r="G347" s="8"/>
      <c r="H347" s="8"/>
      <c r="I347" s="8"/>
      <c r="J347" s="13">
        <f>IF(AND(G347="Карта",H347="Оплачено"),F347,"")</f>
      </c>
      <c r="K347" s="14">
        <f>IF(AND(G347="Карта",H347="Не оплачено"),F347,"")</f>
      </c>
      <c r="L347" s="13">
        <f>IF(AND(G347="Наличные",H347="Оплачено"),F347,"")</f>
      </c>
      <c r="M347" s="14">
        <f>IF(AND(G347="Наличные",H347="Не оплачено"),F347,"")</f>
      </c>
      <c r="N347" s="13">
        <f>IF(AND(G347="Терминал",H347="Оплачено"),F347,"")</f>
      </c>
      <c r="O347" s="14">
        <f>IF(AND(G347="Терминал",H347="Не оплачено"),F347,"")</f>
      </c>
      <c r="P347" s="13">
        <f>IF(AND(G347="Перечисление",H347="Оплачено"),F347,"")</f>
      </c>
      <c r="Q347" s="14">
        <f>IF(AND(G347="Перечисление",H347="Не оплачено"),F347,"")</f>
      </c>
    </row>
    <row r="348">
      <c r="A348" s="9">
        <v>345</v>
      </c>
      <c r="B348" s="7"/>
      <c r="C348" s="6"/>
      <c r="D348" s="8"/>
      <c r="E348" s="8"/>
      <c r="F348" s="4"/>
      <c r="G348" s="8"/>
      <c r="H348" s="8"/>
      <c r="I348" s="8"/>
      <c r="J348" s="13">
        <f>IF(AND(G348="Карта",H348="Оплачено"),F348,"")</f>
      </c>
      <c r="K348" s="14">
        <f>IF(AND(G348="Карта",H348="Не оплачено"),F348,"")</f>
      </c>
      <c r="L348" s="13">
        <f>IF(AND(G348="Наличные",H348="Оплачено"),F348,"")</f>
      </c>
      <c r="M348" s="14">
        <f>IF(AND(G348="Наличные",H348="Не оплачено"),F348,"")</f>
      </c>
      <c r="N348" s="13">
        <f>IF(AND(G348="Терминал",H348="Оплачено"),F348,"")</f>
      </c>
      <c r="O348" s="14">
        <f>IF(AND(G348="Терминал",H348="Не оплачено"),F348,"")</f>
      </c>
      <c r="P348" s="13">
        <f>IF(AND(G348="Перечисление",H348="Оплачено"),F348,"")</f>
      </c>
      <c r="Q348" s="14">
        <f>IF(AND(G348="Перечисление",H348="Не оплачено"),F348,"")</f>
      </c>
    </row>
    <row r="349">
      <c r="A349" s="9">
        <v>346</v>
      </c>
      <c r="B349" s="7"/>
      <c r="C349" s="6"/>
      <c r="D349" s="8"/>
      <c r="E349" s="8"/>
      <c r="F349" s="4"/>
      <c r="G349" s="8"/>
      <c r="H349" s="8"/>
      <c r="I349" s="8"/>
      <c r="J349" s="13">
        <f>IF(AND(G349="Карта",H349="Оплачено"),F349,"")</f>
      </c>
      <c r="K349" s="14">
        <f>IF(AND(G349="Карта",H349="Не оплачено"),F349,"")</f>
      </c>
      <c r="L349" s="13">
        <f>IF(AND(G349="Наличные",H349="Оплачено"),F349,"")</f>
      </c>
      <c r="M349" s="14">
        <f>IF(AND(G349="Наличные",H349="Не оплачено"),F349,"")</f>
      </c>
      <c r="N349" s="13">
        <f>IF(AND(G349="Терминал",H349="Оплачено"),F349,"")</f>
      </c>
      <c r="O349" s="14">
        <f>IF(AND(G349="Терминал",H349="Не оплачено"),F349,"")</f>
      </c>
      <c r="P349" s="13">
        <f>IF(AND(G349="Перечисление",H349="Оплачено"),F349,"")</f>
      </c>
      <c r="Q349" s="14">
        <f>IF(AND(G349="Перечисление",H349="Не оплачено"),F349,"")</f>
      </c>
    </row>
    <row r="350">
      <c r="A350" s="9">
        <v>347</v>
      </c>
      <c r="B350" s="7"/>
      <c r="C350" s="6"/>
      <c r="D350" s="8"/>
      <c r="E350" s="8"/>
      <c r="F350" s="4"/>
      <c r="G350" s="8"/>
      <c r="H350" s="8"/>
      <c r="I350" s="8"/>
      <c r="J350" s="13">
        <f>IF(AND(G350="Карта",H350="Оплачено"),F350,"")</f>
      </c>
      <c r="K350" s="14">
        <f>IF(AND(G350="Карта",H350="Не оплачено"),F350,"")</f>
      </c>
      <c r="L350" s="13">
        <f>IF(AND(G350="Наличные",H350="Оплачено"),F350,"")</f>
      </c>
      <c r="M350" s="14">
        <f>IF(AND(G350="Наличные",H350="Не оплачено"),F350,"")</f>
      </c>
      <c r="N350" s="13">
        <f>IF(AND(G350="Терминал",H350="Оплачено"),F350,"")</f>
      </c>
      <c r="O350" s="14">
        <f>IF(AND(G350="Терминал",H350="Не оплачено"),F350,"")</f>
      </c>
      <c r="P350" s="13">
        <f>IF(AND(G350="Перечисление",H350="Оплачено"),F350,"")</f>
      </c>
      <c r="Q350" s="14">
        <f>IF(AND(G350="Перечисление",H350="Не оплачено"),F350,"")</f>
      </c>
    </row>
    <row r="351">
      <c r="A351" s="9">
        <v>348</v>
      </c>
      <c r="B351" s="7"/>
      <c r="C351" s="6"/>
      <c r="D351" s="8"/>
      <c r="E351" s="8"/>
      <c r="F351" s="4"/>
      <c r="G351" s="8"/>
      <c r="H351" s="8"/>
      <c r="I351" s="8"/>
      <c r="J351" s="13">
        <f>IF(AND(G351="Карта",H351="Оплачено"),F351,"")</f>
      </c>
      <c r="K351" s="14">
        <f>IF(AND(G351="Карта",H351="Не оплачено"),F351,"")</f>
      </c>
      <c r="L351" s="13">
        <f>IF(AND(G351="Наличные",H351="Оплачено"),F351,"")</f>
      </c>
      <c r="M351" s="14">
        <f>IF(AND(G351="Наличные",H351="Не оплачено"),F351,"")</f>
      </c>
      <c r="N351" s="13">
        <f>IF(AND(G351="Терминал",H351="Оплачено"),F351,"")</f>
      </c>
      <c r="O351" s="14">
        <f>IF(AND(G351="Терминал",H351="Не оплачено"),F351,"")</f>
      </c>
      <c r="P351" s="13">
        <f>IF(AND(G351="Перечисление",H351="Оплачено"),F351,"")</f>
      </c>
      <c r="Q351" s="14">
        <f>IF(AND(G351="Перечисление",H351="Не оплачено"),F351,"")</f>
      </c>
    </row>
    <row r="352">
      <c r="A352" s="9">
        <v>349</v>
      </c>
      <c r="B352" s="7"/>
      <c r="C352" s="6"/>
      <c r="D352" s="8"/>
      <c r="E352" s="8"/>
      <c r="F352" s="4"/>
      <c r="G352" s="8"/>
      <c r="H352" s="8"/>
      <c r="I352" s="8"/>
      <c r="J352" s="13">
        <f>IF(AND(G352="Карта",H352="Оплачено"),F352,"")</f>
      </c>
      <c r="K352" s="14">
        <f>IF(AND(G352="Карта",H352="Не оплачено"),F352,"")</f>
      </c>
      <c r="L352" s="13">
        <f>IF(AND(G352="Наличные",H352="Оплачено"),F352,"")</f>
      </c>
      <c r="M352" s="14">
        <f>IF(AND(G352="Наличные",H352="Не оплачено"),F352,"")</f>
      </c>
      <c r="N352" s="13">
        <f>IF(AND(G352="Терминал",H352="Оплачено"),F352,"")</f>
      </c>
      <c r="O352" s="14">
        <f>IF(AND(G352="Терминал",H352="Не оплачено"),F352,"")</f>
      </c>
      <c r="P352" s="13">
        <f>IF(AND(G352="Перечисление",H352="Оплачено"),F352,"")</f>
      </c>
      <c r="Q352" s="14">
        <f>IF(AND(G352="Перечисление",H352="Не оплачено"),F352,"")</f>
      </c>
    </row>
    <row r="353">
      <c r="A353" s="9">
        <v>350</v>
      </c>
      <c r="B353" s="7"/>
      <c r="C353" s="6"/>
      <c r="D353" s="8"/>
      <c r="E353" s="8"/>
      <c r="F353" s="4"/>
      <c r="G353" s="8"/>
      <c r="H353" s="8"/>
      <c r="I353" s="8"/>
      <c r="J353" s="13">
        <f>IF(AND(G353="Карта",H353="Оплачено"),F353,"")</f>
      </c>
      <c r="K353" s="14">
        <f>IF(AND(G353="Карта",H353="Не оплачено"),F353,"")</f>
      </c>
      <c r="L353" s="13">
        <f>IF(AND(G353="Наличные",H353="Оплачено"),F353,"")</f>
      </c>
      <c r="M353" s="14">
        <f>IF(AND(G353="Наличные",H353="Не оплачено"),F353,"")</f>
      </c>
      <c r="N353" s="13">
        <f>IF(AND(G353="Терминал",H353="Оплачено"),F353,"")</f>
      </c>
      <c r="O353" s="14">
        <f>IF(AND(G353="Терминал",H353="Не оплачено"),F353,"")</f>
      </c>
      <c r="P353" s="13">
        <f>IF(AND(G353="Перечисление",H353="Оплачено"),F353,"")</f>
      </c>
      <c r="Q353" s="14">
        <f>IF(AND(G353="Перечисление",H353="Не оплачено"),F353,"")</f>
      </c>
    </row>
    <row r="354">
      <c r="A354" s="9">
        <v>351</v>
      </c>
      <c r="B354" s="7"/>
      <c r="C354" s="6"/>
      <c r="D354" s="8"/>
      <c r="E354" s="8"/>
      <c r="F354" s="4"/>
      <c r="G354" s="8"/>
      <c r="H354" s="8"/>
      <c r="I354" s="8"/>
      <c r="J354" s="13">
        <f>IF(AND(G354="Карта",H354="Оплачено"),F354,"")</f>
      </c>
      <c r="K354" s="14">
        <f>IF(AND(G354="Карта",H354="Не оплачено"),F354,"")</f>
      </c>
      <c r="L354" s="13">
        <f>IF(AND(G354="Наличные",H354="Оплачено"),F354,"")</f>
      </c>
      <c r="M354" s="14">
        <f>IF(AND(G354="Наличные",H354="Не оплачено"),F354,"")</f>
      </c>
      <c r="N354" s="13">
        <f>IF(AND(G354="Терминал",H354="Оплачено"),F354,"")</f>
      </c>
      <c r="O354" s="14">
        <f>IF(AND(G354="Терминал",H354="Не оплачено"),F354,"")</f>
      </c>
      <c r="P354" s="13">
        <f>IF(AND(G354="Перечисление",H354="Оплачено"),F354,"")</f>
      </c>
      <c r="Q354" s="14">
        <f>IF(AND(G354="Перечисление",H354="Не оплачено"),F354,"")</f>
      </c>
    </row>
    <row r="355">
      <c r="A355" s="9">
        <v>352</v>
      </c>
      <c r="B355" s="7"/>
      <c r="C355" s="6"/>
      <c r="D355" s="8"/>
      <c r="E355" s="8"/>
      <c r="F355" s="4"/>
      <c r="G355" s="8"/>
      <c r="H355" s="8"/>
      <c r="I355" s="8"/>
      <c r="J355" s="13">
        <f>IF(AND(G355="Карта",H355="Оплачено"),F355,"")</f>
      </c>
      <c r="K355" s="14">
        <f>IF(AND(G355="Карта",H355="Не оплачено"),F355,"")</f>
      </c>
      <c r="L355" s="13">
        <f>IF(AND(G355="Наличные",H355="Оплачено"),F355,"")</f>
      </c>
      <c r="M355" s="14">
        <f>IF(AND(G355="Наличные",H355="Не оплачено"),F355,"")</f>
      </c>
      <c r="N355" s="13">
        <f>IF(AND(G355="Терминал",H355="Оплачено"),F355,"")</f>
      </c>
      <c r="O355" s="14">
        <f>IF(AND(G355="Терминал",H355="Не оплачено"),F355,"")</f>
      </c>
      <c r="P355" s="13">
        <f>IF(AND(G355="Перечисление",H355="Оплачено"),F355,"")</f>
      </c>
      <c r="Q355" s="14">
        <f>IF(AND(G355="Перечисление",H355="Не оплачено"),F355,"")</f>
      </c>
    </row>
    <row r="356">
      <c r="A356" s="9">
        <v>353</v>
      </c>
      <c r="B356" s="7"/>
      <c r="C356" s="6"/>
      <c r="D356" s="8"/>
      <c r="E356" s="8"/>
      <c r="F356" s="4"/>
      <c r="G356" s="8"/>
      <c r="H356" s="8"/>
      <c r="I356" s="8"/>
      <c r="J356" s="13">
        <f>IF(AND(G356="Карта",H356="Оплачено"),F356,"")</f>
      </c>
      <c r="K356" s="14">
        <f>IF(AND(G356="Карта",H356="Не оплачено"),F356,"")</f>
      </c>
      <c r="L356" s="13">
        <f>IF(AND(G356="Наличные",H356="Оплачено"),F356,"")</f>
      </c>
      <c r="M356" s="14">
        <f>IF(AND(G356="Наличные",H356="Не оплачено"),F356,"")</f>
      </c>
      <c r="N356" s="13">
        <f>IF(AND(G356="Терминал",H356="Оплачено"),F356,"")</f>
      </c>
      <c r="O356" s="14">
        <f>IF(AND(G356="Терминал",H356="Не оплачено"),F356,"")</f>
      </c>
      <c r="P356" s="13">
        <f>IF(AND(G356="Перечисление",H356="Оплачено"),F356,"")</f>
      </c>
      <c r="Q356" s="14">
        <f>IF(AND(G356="Перечисление",H356="Не оплачено"),F356,"")</f>
      </c>
    </row>
    <row r="357">
      <c r="A357" s="9">
        <v>354</v>
      </c>
      <c r="B357" s="7"/>
      <c r="C357" s="6"/>
      <c r="D357" s="8"/>
      <c r="E357" s="8"/>
      <c r="F357" s="4"/>
      <c r="G357" s="8"/>
      <c r="H357" s="8"/>
      <c r="I357" s="8"/>
      <c r="J357" s="13">
        <f>IF(AND(G357="Карта",H357="Оплачено"),F357,"")</f>
      </c>
      <c r="K357" s="14">
        <f>IF(AND(G357="Карта",H357="Не оплачено"),F357,"")</f>
      </c>
      <c r="L357" s="13">
        <f>IF(AND(G357="Наличные",H357="Оплачено"),F357,"")</f>
      </c>
      <c r="M357" s="14">
        <f>IF(AND(G357="Наличные",H357="Не оплачено"),F357,"")</f>
      </c>
      <c r="N357" s="13">
        <f>IF(AND(G357="Терминал",H357="Оплачено"),F357,"")</f>
      </c>
      <c r="O357" s="14">
        <f>IF(AND(G357="Терминал",H357="Не оплачено"),F357,"")</f>
      </c>
      <c r="P357" s="13">
        <f>IF(AND(G357="Перечисление",H357="Оплачено"),F357,"")</f>
      </c>
      <c r="Q357" s="14">
        <f>IF(AND(G357="Перечисление",H357="Не оплачено"),F357,"")</f>
      </c>
    </row>
    <row r="358">
      <c r="A358" s="9">
        <v>355</v>
      </c>
      <c r="B358" s="7"/>
      <c r="C358" s="6"/>
      <c r="D358" s="8"/>
      <c r="E358" s="8"/>
      <c r="F358" s="4"/>
      <c r="G358" s="8"/>
      <c r="H358" s="8"/>
      <c r="I358" s="8"/>
      <c r="J358" s="13">
        <f>IF(AND(G358="Карта",H358="Оплачено"),F358,"")</f>
      </c>
      <c r="K358" s="14">
        <f>IF(AND(G358="Карта",H358="Не оплачено"),F358,"")</f>
      </c>
      <c r="L358" s="13">
        <f>IF(AND(G358="Наличные",H358="Оплачено"),F358,"")</f>
      </c>
      <c r="M358" s="14">
        <f>IF(AND(G358="Наличные",H358="Не оплачено"),F358,"")</f>
      </c>
      <c r="N358" s="13">
        <f>IF(AND(G358="Терминал",H358="Оплачено"),F358,"")</f>
      </c>
      <c r="O358" s="14">
        <f>IF(AND(G358="Терминал",H358="Не оплачено"),F358,"")</f>
      </c>
      <c r="P358" s="13">
        <f>IF(AND(G358="Перечисление",H358="Оплачено"),F358,"")</f>
      </c>
      <c r="Q358" s="14">
        <f>IF(AND(G358="Перечисление",H358="Не оплачено"),F358,"")</f>
      </c>
    </row>
    <row r="359">
      <c r="A359" s="9">
        <v>356</v>
      </c>
      <c r="B359" s="7"/>
      <c r="C359" s="6"/>
      <c r="D359" s="8"/>
      <c r="E359" s="8"/>
      <c r="F359" s="4"/>
      <c r="G359" s="8"/>
      <c r="H359" s="8"/>
      <c r="I359" s="8"/>
      <c r="J359" s="13">
        <f>IF(AND(G359="Карта",H359="Оплачено"),F359,"")</f>
      </c>
      <c r="K359" s="14">
        <f>IF(AND(G359="Карта",H359="Не оплачено"),F359,"")</f>
      </c>
      <c r="L359" s="13">
        <f>IF(AND(G359="Наличные",H359="Оплачено"),F359,"")</f>
      </c>
      <c r="M359" s="14">
        <f>IF(AND(G359="Наличные",H359="Не оплачено"),F359,"")</f>
      </c>
      <c r="N359" s="13">
        <f>IF(AND(G359="Терминал",H359="Оплачено"),F359,"")</f>
      </c>
      <c r="O359" s="14">
        <f>IF(AND(G359="Терминал",H359="Не оплачено"),F359,"")</f>
      </c>
      <c r="P359" s="13">
        <f>IF(AND(G359="Перечисление",H359="Оплачено"),F359,"")</f>
      </c>
      <c r="Q359" s="14">
        <f>IF(AND(G359="Перечисление",H359="Не оплачено"),F359,"")</f>
      </c>
    </row>
    <row r="360">
      <c r="A360" s="9">
        <v>357</v>
      </c>
      <c r="B360" s="7"/>
      <c r="C360" s="6"/>
      <c r="D360" s="8"/>
      <c r="E360" s="8"/>
      <c r="F360" s="4"/>
      <c r="G360" s="8"/>
      <c r="H360" s="8"/>
      <c r="I360" s="8"/>
      <c r="J360" s="13">
        <f>IF(AND(G360="Карта",H360="Оплачено"),F360,"")</f>
      </c>
      <c r="K360" s="14">
        <f>IF(AND(G360="Карта",H360="Не оплачено"),F360,"")</f>
      </c>
      <c r="L360" s="13">
        <f>IF(AND(G360="Наличные",H360="Оплачено"),F360,"")</f>
      </c>
      <c r="M360" s="14">
        <f>IF(AND(G360="Наличные",H360="Не оплачено"),F360,"")</f>
      </c>
      <c r="N360" s="13">
        <f>IF(AND(G360="Терминал",H360="Оплачено"),F360,"")</f>
      </c>
      <c r="O360" s="14">
        <f>IF(AND(G360="Терминал",H360="Не оплачено"),F360,"")</f>
      </c>
      <c r="P360" s="13">
        <f>IF(AND(G360="Перечисление",H360="Оплачено"),F360,"")</f>
      </c>
      <c r="Q360" s="14">
        <f>IF(AND(G360="Перечисление",H360="Не оплачено"),F360,"")</f>
      </c>
    </row>
    <row r="361">
      <c r="A361" s="9">
        <v>358</v>
      </c>
      <c r="B361" s="7"/>
      <c r="C361" s="6"/>
      <c r="D361" s="8"/>
      <c r="E361" s="8"/>
      <c r="F361" s="4"/>
      <c r="G361" s="8"/>
      <c r="H361" s="8"/>
      <c r="I361" s="8"/>
      <c r="J361" s="13">
        <f>IF(AND(G361="Карта",H361="Оплачено"),F361,"")</f>
      </c>
      <c r="K361" s="14">
        <f>IF(AND(G361="Карта",H361="Не оплачено"),F361,"")</f>
      </c>
      <c r="L361" s="13">
        <f>IF(AND(G361="Наличные",H361="Оплачено"),F361,"")</f>
      </c>
      <c r="M361" s="14">
        <f>IF(AND(G361="Наличные",H361="Не оплачено"),F361,"")</f>
      </c>
      <c r="N361" s="13">
        <f>IF(AND(G361="Терминал",H361="Оплачено"),F361,"")</f>
      </c>
      <c r="O361" s="14">
        <f>IF(AND(G361="Терминал",H361="Не оплачено"),F361,"")</f>
      </c>
      <c r="P361" s="13">
        <f>IF(AND(G361="Перечисление",H361="Оплачено"),F361,"")</f>
      </c>
      <c r="Q361" s="14">
        <f>IF(AND(G361="Перечисление",H361="Не оплачено"),F361,"")</f>
      </c>
    </row>
    <row r="362">
      <c r="A362" s="9">
        <v>359</v>
      </c>
      <c r="B362" s="7"/>
      <c r="C362" s="6"/>
      <c r="D362" s="8"/>
      <c r="E362" s="8"/>
      <c r="F362" s="4"/>
      <c r="G362" s="8"/>
      <c r="H362" s="8"/>
      <c r="I362" s="8"/>
      <c r="J362" s="13">
        <f>IF(AND(G362="Карта",H362="Оплачено"),F362,"")</f>
      </c>
      <c r="K362" s="14">
        <f>IF(AND(G362="Карта",H362="Не оплачено"),F362,"")</f>
      </c>
      <c r="L362" s="13">
        <f>IF(AND(G362="Наличные",H362="Оплачено"),F362,"")</f>
      </c>
      <c r="M362" s="14">
        <f>IF(AND(G362="Наличные",H362="Не оплачено"),F362,"")</f>
      </c>
      <c r="N362" s="13">
        <f>IF(AND(G362="Терминал",H362="Оплачено"),F362,"")</f>
      </c>
      <c r="O362" s="14">
        <f>IF(AND(G362="Терминал",H362="Не оплачено"),F362,"")</f>
      </c>
      <c r="P362" s="13">
        <f>IF(AND(G362="Перечисление",H362="Оплачено"),F362,"")</f>
      </c>
      <c r="Q362" s="14">
        <f>IF(AND(G362="Перечисление",H362="Не оплачено"),F362,"")</f>
      </c>
    </row>
    <row r="363">
      <c r="A363" s="9">
        <v>360</v>
      </c>
      <c r="B363" s="7"/>
      <c r="C363" s="6"/>
      <c r="D363" s="8"/>
      <c r="E363" s="8"/>
      <c r="F363" s="4"/>
      <c r="G363" s="8"/>
      <c r="H363" s="8"/>
      <c r="I363" s="8"/>
      <c r="J363" s="13">
        <f>IF(AND(G363="Карта",H363="Оплачено"),F363,"")</f>
      </c>
      <c r="K363" s="14">
        <f>IF(AND(G363="Карта",H363="Не оплачено"),F363,"")</f>
      </c>
      <c r="L363" s="13">
        <f>IF(AND(G363="Наличные",H363="Оплачено"),F363,"")</f>
      </c>
      <c r="M363" s="14">
        <f>IF(AND(G363="Наличные",H363="Не оплачено"),F363,"")</f>
      </c>
      <c r="N363" s="13">
        <f>IF(AND(G363="Терминал",H363="Оплачено"),F363,"")</f>
      </c>
      <c r="O363" s="14">
        <f>IF(AND(G363="Терминал",H363="Не оплачено"),F363,"")</f>
      </c>
      <c r="P363" s="13">
        <f>IF(AND(G363="Перечисление",H363="Оплачено"),F363,"")</f>
      </c>
      <c r="Q363" s="14">
        <f>IF(AND(G363="Перечисление",H363="Не оплачено"),F363,"")</f>
      </c>
    </row>
    <row r="364">
      <c r="A364" s="9">
        <v>361</v>
      </c>
      <c r="B364" s="7"/>
      <c r="C364" s="6"/>
      <c r="D364" s="8"/>
      <c r="E364" s="8"/>
      <c r="F364" s="4"/>
      <c r="G364" s="8"/>
      <c r="H364" s="8"/>
      <c r="I364" s="8"/>
      <c r="J364" s="13">
        <f>IF(AND(G364="Карта",H364="Оплачено"),F364,"")</f>
      </c>
      <c r="K364" s="14">
        <f>IF(AND(G364="Карта",H364="Не оплачено"),F364,"")</f>
      </c>
      <c r="L364" s="13">
        <f>IF(AND(G364="Наличные",H364="Оплачено"),F364,"")</f>
      </c>
      <c r="M364" s="14">
        <f>IF(AND(G364="Наличные",H364="Не оплачено"),F364,"")</f>
      </c>
      <c r="N364" s="13">
        <f>IF(AND(G364="Терминал",H364="Оплачено"),F364,"")</f>
      </c>
      <c r="O364" s="14">
        <f>IF(AND(G364="Терминал",H364="Не оплачено"),F364,"")</f>
      </c>
      <c r="P364" s="13">
        <f>IF(AND(G364="Перечисление",H364="Оплачено"),F364,"")</f>
      </c>
      <c r="Q364" s="14">
        <f>IF(AND(G364="Перечисление",H364="Не оплачено"),F364,"")</f>
      </c>
    </row>
    <row r="365">
      <c r="A365" s="9">
        <v>362</v>
      </c>
      <c r="B365" s="7"/>
      <c r="C365" s="6"/>
      <c r="D365" s="8"/>
      <c r="E365" s="8"/>
      <c r="F365" s="4"/>
      <c r="G365" s="8"/>
      <c r="H365" s="8"/>
      <c r="I365" s="8"/>
      <c r="J365" s="13">
        <f>IF(AND(G365="Карта",H365="Оплачено"),F365,"")</f>
      </c>
      <c r="K365" s="14">
        <f>IF(AND(G365="Карта",H365="Не оплачено"),F365,"")</f>
      </c>
      <c r="L365" s="13">
        <f>IF(AND(G365="Наличные",H365="Оплачено"),F365,"")</f>
      </c>
      <c r="M365" s="14">
        <f>IF(AND(G365="Наличные",H365="Не оплачено"),F365,"")</f>
      </c>
      <c r="N365" s="13">
        <f>IF(AND(G365="Терминал",H365="Оплачено"),F365,"")</f>
      </c>
      <c r="O365" s="14">
        <f>IF(AND(G365="Терминал",H365="Не оплачено"),F365,"")</f>
      </c>
      <c r="P365" s="13">
        <f>IF(AND(G365="Перечисление",H365="Оплачено"),F365,"")</f>
      </c>
      <c r="Q365" s="14">
        <f>IF(AND(G365="Перечисление",H365="Не оплачено"),F365,"")</f>
      </c>
    </row>
    <row r="366">
      <c r="A366" s="9">
        <v>363</v>
      </c>
      <c r="B366" s="7"/>
      <c r="C366" s="6"/>
      <c r="D366" s="8"/>
      <c r="E366" s="8"/>
      <c r="F366" s="4"/>
      <c r="G366" s="8"/>
      <c r="H366" s="8"/>
      <c r="I366" s="8"/>
      <c r="J366" s="13">
        <f>IF(AND(G366="Карта",H366="Оплачено"),F366,"")</f>
      </c>
      <c r="K366" s="14">
        <f>IF(AND(G366="Карта",H366="Не оплачено"),F366,"")</f>
      </c>
      <c r="L366" s="13">
        <f>IF(AND(G366="Наличные",H366="Оплачено"),F366,"")</f>
      </c>
      <c r="M366" s="14">
        <f>IF(AND(G366="Наличные",H366="Не оплачено"),F366,"")</f>
      </c>
      <c r="N366" s="13">
        <f>IF(AND(G366="Терминал",H366="Оплачено"),F366,"")</f>
      </c>
      <c r="O366" s="14">
        <f>IF(AND(G366="Терминал",H366="Не оплачено"),F366,"")</f>
      </c>
      <c r="P366" s="13">
        <f>IF(AND(G366="Перечисление",H366="Оплачено"),F366,"")</f>
      </c>
      <c r="Q366" s="14">
        <f>IF(AND(G366="Перечисление",H366="Не оплачено"),F366,"")</f>
      </c>
    </row>
    <row r="367">
      <c r="A367" s="9">
        <v>364</v>
      </c>
      <c r="B367" s="7"/>
      <c r="C367" s="6"/>
      <c r="D367" s="8"/>
      <c r="E367" s="8"/>
      <c r="F367" s="4"/>
      <c r="G367" s="8"/>
      <c r="H367" s="8"/>
      <c r="I367" s="8"/>
      <c r="J367" s="13">
        <f>IF(AND(G367="Карта",H367="Оплачено"),F367,"")</f>
      </c>
      <c r="K367" s="14">
        <f>IF(AND(G367="Карта",H367="Не оплачено"),F367,"")</f>
      </c>
      <c r="L367" s="13">
        <f>IF(AND(G367="Наличные",H367="Оплачено"),F367,"")</f>
      </c>
      <c r="M367" s="14">
        <f>IF(AND(G367="Наличные",H367="Не оплачено"),F367,"")</f>
      </c>
      <c r="N367" s="13">
        <f>IF(AND(G367="Терминал",H367="Оплачено"),F367,"")</f>
      </c>
      <c r="O367" s="14">
        <f>IF(AND(G367="Терминал",H367="Не оплачено"),F367,"")</f>
      </c>
      <c r="P367" s="13">
        <f>IF(AND(G367="Перечисление",H367="Оплачено"),F367,"")</f>
      </c>
      <c r="Q367" s="14">
        <f>IF(AND(G367="Перечисление",H367="Не оплачено"),F367,"")</f>
      </c>
    </row>
    <row r="368">
      <c r="A368" s="9">
        <v>365</v>
      </c>
      <c r="B368" s="7"/>
      <c r="C368" s="6"/>
      <c r="D368" s="8"/>
      <c r="E368" s="8"/>
      <c r="F368" s="4"/>
      <c r="G368" s="8"/>
      <c r="H368" s="8"/>
      <c r="I368" s="8"/>
      <c r="J368" s="13">
        <f>IF(AND(G368="Карта",H368="Оплачено"),F368,"")</f>
      </c>
      <c r="K368" s="14">
        <f>IF(AND(G368="Карта",H368="Не оплачено"),F368,"")</f>
      </c>
      <c r="L368" s="13">
        <f>IF(AND(G368="Наличные",H368="Оплачено"),F368,"")</f>
      </c>
      <c r="M368" s="14">
        <f>IF(AND(G368="Наличные",H368="Не оплачено"),F368,"")</f>
      </c>
      <c r="N368" s="13">
        <f>IF(AND(G368="Терминал",H368="Оплачено"),F368,"")</f>
      </c>
      <c r="O368" s="14">
        <f>IF(AND(G368="Терминал",H368="Не оплачено"),F368,"")</f>
      </c>
      <c r="P368" s="13">
        <f>IF(AND(G368="Перечисление",H368="Оплачено"),F368,"")</f>
      </c>
      <c r="Q368" s="14">
        <f>IF(AND(G368="Перечисление",H368="Не оплачено"),F368,"")</f>
      </c>
    </row>
    <row r="369">
      <c r="A369" s="9">
        <v>366</v>
      </c>
      <c r="B369" s="7"/>
      <c r="C369" s="6"/>
      <c r="D369" s="8"/>
      <c r="E369" s="8"/>
      <c r="F369" s="4"/>
      <c r="G369" s="8"/>
      <c r="H369" s="8"/>
      <c r="I369" s="8"/>
      <c r="J369" s="13">
        <f>IF(AND(G369="Карта",H369="Оплачено"),F369,"")</f>
      </c>
      <c r="K369" s="14">
        <f>IF(AND(G369="Карта",H369="Не оплачено"),F369,"")</f>
      </c>
      <c r="L369" s="13">
        <f>IF(AND(G369="Наличные",H369="Оплачено"),F369,"")</f>
      </c>
      <c r="M369" s="14">
        <f>IF(AND(G369="Наличные",H369="Не оплачено"),F369,"")</f>
      </c>
      <c r="N369" s="13">
        <f>IF(AND(G369="Терминал",H369="Оплачено"),F369,"")</f>
      </c>
      <c r="O369" s="14">
        <f>IF(AND(G369="Терминал",H369="Не оплачено"),F369,"")</f>
      </c>
      <c r="P369" s="13">
        <f>IF(AND(G369="Перечисление",H369="Оплачено"),F369,"")</f>
      </c>
      <c r="Q369" s="14">
        <f>IF(AND(G369="Перечисление",H369="Не оплачено"),F369,"")</f>
      </c>
    </row>
    <row r="370">
      <c r="A370" s="9">
        <v>367</v>
      </c>
      <c r="B370" s="7"/>
      <c r="C370" s="6"/>
      <c r="D370" s="8"/>
      <c r="E370" s="8"/>
      <c r="F370" s="4"/>
      <c r="G370" s="8"/>
      <c r="H370" s="8"/>
      <c r="I370" s="8"/>
      <c r="J370" s="13">
        <f>IF(AND(G370="Карта",H370="Оплачено"),F370,"")</f>
      </c>
      <c r="K370" s="14">
        <f>IF(AND(G370="Карта",H370="Не оплачено"),F370,"")</f>
      </c>
      <c r="L370" s="13">
        <f>IF(AND(G370="Наличные",H370="Оплачено"),F370,"")</f>
      </c>
      <c r="M370" s="14">
        <f>IF(AND(G370="Наличные",H370="Не оплачено"),F370,"")</f>
      </c>
      <c r="N370" s="13">
        <f>IF(AND(G370="Терминал",H370="Оплачено"),F370,"")</f>
      </c>
      <c r="O370" s="14">
        <f>IF(AND(G370="Терминал",H370="Не оплачено"),F370,"")</f>
      </c>
      <c r="P370" s="13">
        <f>IF(AND(G370="Перечисление",H370="Оплачено"),F370,"")</f>
      </c>
      <c r="Q370" s="14">
        <f>IF(AND(G370="Перечисление",H370="Не оплачено"),F370,"")</f>
      </c>
    </row>
    <row r="371">
      <c r="A371" s="9">
        <v>368</v>
      </c>
      <c r="B371" s="7"/>
      <c r="C371" s="6"/>
      <c r="D371" s="8"/>
      <c r="E371" s="8"/>
      <c r="F371" s="4"/>
      <c r="G371" s="8"/>
      <c r="H371" s="8"/>
      <c r="I371" s="8"/>
      <c r="J371" s="13">
        <f>IF(AND(G371="Карта",H371="Оплачено"),F371,"")</f>
      </c>
      <c r="K371" s="14">
        <f>IF(AND(G371="Карта",H371="Не оплачено"),F371,"")</f>
      </c>
      <c r="L371" s="13">
        <f>IF(AND(G371="Наличные",H371="Оплачено"),F371,"")</f>
      </c>
      <c r="M371" s="14">
        <f>IF(AND(G371="Наличные",H371="Не оплачено"),F371,"")</f>
      </c>
      <c r="N371" s="13">
        <f>IF(AND(G371="Терминал",H371="Оплачено"),F371,"")</f>
      </c>
      <c r="O371" s="14">
        <f>IF(AND(G371="Терминал",H371="Не оплачено"),F371,"")</f>
      </c>
      <c r="P371" s="13">
        <f>IF(AND(G371="Перечисление",H371="Оплачено"),F371,"")</f>
      </c>
      <c r="Q371" s="14">
        <f>IF(AND(G371="Перечисление",H371="Не оплачено"),F371,"")</f>
      </c>
    </row>
    <row r="372">
      <c r="A372" s="9">
        <v>369</v>
      </c>
      <c r="B372" s="7"/>
      <c r="C372" s="6"/>
      <c r="D372" s="8"/>
      <c r="E372" s="8"/>
      <c r="F372" s="4"/>
      <c r="G372" s="8"/>
      <c r="H372" s="8"/>
      <c r="I372" s="8"/>
      <c r="J372" s="13">
        <f>IF(AND(G372="Карта",H372="Оплачено"),F372,"")</f>
      </c>
      <c r="K372" s="14">
        <f>IF(AND(G372="Карта",H372="Не оплачено"),F372,"")</f>
      </c>
      <c r="L372" s="13">
        <f>IF(AND(G372="Наличные",H372="Оплачено"),F372,"")</f>
      </c>
      <c r="M372" s="14">
        <f>IF(AND(G372="Наличные",H372="Не оплачено"),F372,"")</f>
      </c>
      <c r="N372" s="13">
        <f>IF(AND(G372="Терминал",H372="Оплачено"),F372,"")</f>
      </c>
      <c r="O372" s="14">
        <f>IF(AND(G372="Терминал",H372="Не оплачено"),F372,"")</f>
      </c>
      <c r="P372" s="13">
        <f>IF(AND(G372="Перечисление",H372="Оплачено"),F372,"")</f>
      </c>
      <c r="Q372" s="14">
        <f>IF(AND(G372="Перечисление",H372="Не оплачено"),F372,"")</f>
      </c>
    </row>
    <row r="373">
      <c r="A373" s="9">
        <v>370</v>
      </c>
      <c r="B373" s="7"/>
      <c r="C373" s="6"/>
      <c r="D373" s="8"/>
      <c r="E373" s="8"/>
      <c r="F373" s="4"/>
      <c r="G373" s="8"/>
      <c r="H373" s="8"/>
      <c r="I373" s="8"/>
      <c r="J373" s="13">
        <f>IF(AND(G373="Карта",H373="Оплачено"),F373,"")</f>
      </c>
      <c r="K373" s="14">
        <f>IF(AND(G373="Карта",H373="Не оплачено"),F373,"")</f>
      </c>
      <c r="L373" s="13">
        <f>IF(AND(G373="Наличные",H373="Оплачено"),F373,"")</f>
      </c>
      <c r="M373" s="14">
        <f>IF(AND(G373="Наличные",H373="Не оплачено"),F373,"")</f>
      </c>
      <c r="N373" s="13">
        <f>IF(AND(G373="Терминал",H373="Оплачено"),F373,"")</f>
      </c>
      <c r="O373" s="14">
        <f>IF(AND(G373="Терминал",H373="Не оплачено"),F373,"")</f>
      </c>
      <c r="P373" s="13">
        <f>IF(AND(G373="Перечисление",H373="Оплачено"),F373,"")</f>
      </c>
      <c r="Q373" s="14">
        <f>IF(AND(G373="Перечисление",H373="Не оплачено"),F373,"")</f>
      </c>
    </row>
    <row r="374">
      <c r="A374" s="9">
        <v>371</v>
      </c>
      <c r="B374" s="7"/>
      <c r="C374" s="6"/>
      <c r="D374" s="8"/>
      <c r="E374" s="8"/>
      <c r="F374" s="4"/>
      <c r="G374" s="8"/>
      <c r="H374" s="8"/>
      <c r="I374" s="8"/>
      <c r="J374" s="13">
        <f>IF(AND(G374="Карта",H374="Оплачено"),F374,"")</f>
      </c>
      <c r="K374" s="14">
        <f>IF(AND(G374="Карта",H374="Не оплачено"),F374,"")</f>
      </c>
      <c r="L374" s="13">
        <f>IF(AND(G374="Наличные",H374="Оплачено"),F374,"")</f>
      </c>
      <c r="M374" s="14">
        <f>IF(AND(G374="Наличные",H374="Не оплачено"),F374,"")</f>
      </c>
      <c r="N374" s="13">
        <f>IF(AND(G374="Терминал",H374="Оплачено"),F374,"")</f>
      </c>
      <c r="O374" s="14">
        <f>IF(AND(G374="Терминал",H374="Не оплачено"),F374,"")</f>
      </c>
      <c r="P374" s="13">
        <f>IF(AND(G374="Перечисление",H374="Оплачено"),F374,"")</f>
      </c>
      <c r="Q374" s="14">
        <f>IF(AND(G374="Перечисление",H374="Не оплачено"),F374,"")</f>
      </c>
    </row>
    <row r="375">
      <c r="A375" s="9">
        <v>372</v>
      </c>
      <c r="B375" s="7"/>
      <c r="C375" s="6"/>
      <c r="D375" s="8"/>
      <c r="E375" s="8"/>
      <c r="F375" s="4"/>
      <c r="G375" s="8"/>
      <c r="H375" s="8"/>
      <c r="I375" s="8"/>
      <c r="J375" s="13">
        <f>IF(AND(G375="Карта",H375="Оплачено"),F375,"")</f>
      </c>
      <c r="K375" s="14">
        <f>IF(AND(G375="Карта",H375="Не оплачено"),F375,"")</f>
      </c>
      <c r="L375" s="13">
        <f>IF(AND(G375="Наличные",H375="Оплачено"),F375,"")</f>
      </c>
      <c r="M375" s="14">
        <f>IF(AND(G375="Наличные",H375="Не оплачено"),F375,"")</f>
      </c>
      <c r="N375" s="13">
        <f>IF(AND(G375="Терминал",H375="Оплачено"),F375,"")</f>
      </c>
      <c r="O375" s="14">
        <f>IF(AND(G375="Терминал",H375="Не оплачено"),F375,"")</f>
      </c>
      <c r="P375" s="13">
        <f>IF(AND(G375="Перечисление",H375="Оплачено"),F375,"")</f>
      </c>
      <c r="Q375" s="14">
        <f>IF(AND(G375="Перечисление",H375="Не оплачено"),F375,"")</f>
      </c>
    </row>
    <row r="376">
      <c r="A376" s="9">
        <v>373</v>
      </c>
      <c r="B376" s="7"/>
      <c r="C376" s="6"/>
      <c r="D376" s="8"/>
      <c r="E376" s="8"/>
      <c r="F376" s="4"/>
      <c r="G376" s="8"/>
      <c r="H376" s="8"/>
      <c r="I376" s="8"/>
      <c r="J376" s="13">
        <f>IF(AND(G376="Карта",H376="Оплачено"),F376,"")</f>
      </c>
      <c r="K376" s="14">
        <f>IF(AND(G376="Карта",H376="Не оплачено"),F376,"")</f>
      </c>
      <c r="L376" s="13">
        <f>IF(AND(G376="Наличные",H376="Оплачено"),F376,"")</f>
      </c>
      <c r="M376" s="14">
        <f>IF(AND(G376="Наличные",H376="Не оплачено"),F376,"")</f>
      </c>
      <c r="N376" s="13">
        <f>IF(AND(G376="Терминал",H376="Оплачено"),F376,"")</f>
      </c>
      <c r="O376" s="14">
        <f>IF(AND(G376="Терминал",H376="Не оплачено"),F376,"")</f>
      </c>
      <c r="P376" s="13">
        <f>IF(AND(G376="Перечисление",H376="Оплачено"),F376,"")</f>
      </c>
      <c r="Q376" s="14">
        <f>IF(AND(G376="Перечисление",H376="Не оплачено"),F376,"")</f>
      </c>
    </row>
    <row r="377">
      <c r="A377" s="9">
        <v>374</v>
      </c>
      <c r="B377" s="7"/>
      <c r="C377" s="6"/>
      <c r="D377" s="8"/>
      <c r="E377" s="8"/>
      <c r="F377" s="4"/>
      <c r="G377" s="8"/>
      <c r="H377" s="8"/>
      <c r="I377" s="8"/>
      <c r="J377" s="13">
        <f>IF(AND(G377="Карта",H377="Оплачено"),F377,"")</f>
      </c>
      <c r="K377" s="14">
        <f>IF(AND(G377="Карта",H377="Не оплачено"),F377,"")</f>
      </c>
      <c r="L377" s="13">
        <f>IF(AND(G377="Наличные",H377="Оплачено"),F377,"")</f>
      </c>
      <c r="M377" s="14">
        <f>IF(AND(G377="Наличные",H377="Не оплачено"),F377,"")</f>
      </c>
      <c r="N377" s="13">
        <f>IF(AND(G377="Терминал",H377="Оплачено"),F377,"")</f>
      </c>
      <c r="O377" s="14">
        <f>IF(AND(G377="Терминал",H377="Не оплачено"),F377,"")</f>
      </c>
      <c r="P377" s="13">
        <f>IF(AND(G377="Перечисление",H377="Оплачено"),F377,"")</f>
      </c>
      <c r="Q377" s="14">
        <f>IF(AND(G377="Перечисление",H377="Не оплачено"),F377,"")</f>
      </c>
    </row>
    <row r="378">
      <c r="A378" s="9">
        <v>375</v>
      </c>
      <c r="B378" s="7"/>
      <c r="C378" s="6"/>
      <c r="D378" s="8"/>
      <c r="E378" s="8"/>
      <c r="F378" s="4"/>
      <c r="G378" s="8"/>
      <c r="H378" s="8"/>
      <c r="I378" s="8"/>
      <c r="J378" s="13">
        <f>IF(AND(G378="Карта",H378="Оплачено"),F378,"")</f>
      </c>
      <c r="K378" s="14">
        <f>IF(AND(G378="Карта",H378="Не оплачено"),F378,"")</f>
      </c>
      <c r="L378" s="13">
        <f>IF(AND(G378="Наличные",H378="Оплачено"),F378,"")</f>
      </c>
      <c r="M378" s="14">
        <f>IF(AND(G378="Наличные",H378="Не оплачено"),F378,"")</f>
      </c>
      <c r="N378" s="13">
        <f>IF(AND(G378="Терминал",H378="Оплачено"),F378,"")</f>
      </c>
      <c r="O378" s="14">
        <f>IF(AND(G378="Терминал",H378="Не оплачено"),F378,"")</f>
      </c>
      <c r="P378" s="13">
        <f>IF(AND(G378="Перечисление",H378="Оплачено"),F378,"")</f>
      </c>
      <c r="Q378" s="14">
        <f>IF(AND(G378="Перечисление",H378="Не оплачено"),F378,"")</f>
      </c>
    </row>
    <row r="379">
      <c r="A379" s="9">
        <v>376</v>
      </c>
      <c r="B379" s="7"/>
      <c r="C379" s="6"/>
      <c r="D379" s="8"/>
      <c r="E379" s="8"/>
      <c r="F379" s="4"/>
      <c r="G379" s="8"/>
      <c r="H379" s="8"/>
      <c r="I379" s="8"/>
      <c r="J379" s="13">
        <f>IF(AND(G379="Карта",H379="Оплачено"),F379,"")</f>
      </c>
      <c r="K379" s="14">
        <f>IF(AND(G379="Карта",H379="Не оплачено"),F379,"")</f>
      </c>
      <c r="L379" s="13">
        <f>IF(AND(G379="Наличные",H379="Оплачено"),F379,"")</f>
      </c>
      <c r="M379" s="14">
        <f>IF(AND(G379="Наличные",H379="Не оплачено"),F379,"")</f>
      </c>
      <c r="N379" s="13">
        <f>IF(AND(G379="Терминал",H379="Оплачено"),F379,"")</f>
      </c>
      <c r="O379" s="14">
        <f>IF(AND(G379="Терминал",H379="Не оплачено"),F379,"")</f>
      </c>
      <c r="P379" s="13">
        <f>IF(AND(G379="Перечисление",H379="Оплачено"),F379,"")</f>
      </c>
      <c r="Q379" s="14">
        <f>IF(AND(G379="Перечисление",H379="Не оплачено"),F379,"")</f>
      </c>
    </row>
    <row r="380">
      <c r="A380" s="9">
        <v>377</v>
      </c>
      <c r="B380" s="7"/>
      <c r="C380" s="6"/>
      <c r="D380" s="8"/>
      <c r="E380" s="8"/>
      <c r="F380" s="4"/>
      <c r="G380" s="8"/>
      <c r="H380" s="8"/>
      <c r="I380" s="8"/>
      <c r="J380" s="13">
        <f>IF(AND(G380="Карта",H380="Оплачено"),F380,"")</f>
      </c>
      <c r="K380" s="14">
        <f>IF(AND(G380="Карта",H380="Не оплачено"),F380,"")</f>
      </c>
      <c r="L380" s="13">
        <f>IF(AND(G380="Наличные",H380="Оплачено"),F380,"")</f>
      </c>
      <c r="M380" s="14">
        <f>IF(AND(G380="Наличные",H380="Не оплачено"),F380,"")</f>
      </c>
      <c r="N380" s="13">
        <f>IF(AND(G380="Терминал",H380="Оплачено"),F380,"")</f>
      </c>
      <c r="O380" s="14">
        <f>IF(AND(G380="Терминал",H380="Не оплачено"),F380,"")</f>
      </c>
      <c r="P380" s="13">
        <f>IF(AND(G380="Перечисление",H380="Оплачено"),F380,"")</f>
      </c>
      <c r="Q380" s="14">
        <f>IF(AND(G380="Перечисление",H380="Не оплачено"),F380,"")</f>
      </c>
    </row>
    <row r="381">
      <c r="A381" s="9">
        <v>378</v>
      </c>
      <c r="B381" s="7"/>
      <c r="C381" s="6"/>
      <c r="D381" s="8"/>
      <c r="E381" s="8"/>
      <c r="F381" s="4"/>
      <c r="G381" s="8"/>
      <c r="H381" s="8"/>
      <c r="I381" s="8"/>
      <c r="J381" s="13">
        <f>IF(AND(G381="Карта",H381="Оплачено"),F381,"")</f>
      </c>
      <c r="K381" s="14">
        <f>IF(AND(G381="Карта",H381="Не оплачено"),F381,"")</f>
      </c>
      <c r="L381" s="13">
        <f>IF(AND(G381="Наличные",H381="Оплачено"),F381,"")</f>
      </c>
      <c r="M381" s="14">
        <f>IF(AND(G381="Наличные",H381="Не оплачено"),F381,"")</f>
      </c>
      <c r="N381" s="13">
        <f>IF(AND(G381="Терминал",H381="Оплачено"),F381,"")</f>
      </c>
      <c r="O381" s="14">
        <f>IF(AND(G381="Терминал",H381="Не оплачено"),F381,"")</f>
      </c>
      <c r="P381" s="13">
        <f>IF(AND(G381="Перечисление",H381="Оплачено"),F381,"")</f>
      </c>
      <c r="Q381" s="14">
        <f>IF(AND(G381="Перечисление",H381="Не оплачено"),F381,"")</f>
      </c>
    </row>
    <row r="382">
      <c r="A382" s="9">
        <v>379</v>
      </c>
      <c r="B382" s="7"/>
      <c r="C382" s="6"/>
      <c r="D382" s="8"/>
      <c r="E382" s="8"/>
      <c r="F382" s="4"/>
      <c r="G382" s="8"/>
      <c r="H382" s="8"/>
      <c r="I382" s="8"/>
      <c r="J382" s="13">
        <f>IF(AND(G382="Карта",H382="Оплачено"),F382,"")</f>
      </c>
      <c r="K382" s="14">
        <f>IF(AND(G382="Карта",H382="Не оплачено"),F382,"")</f>
      </c>
      <c r="L382" s="13">
        <f>IF(AND(G382="Наличные",H382="Оплачено"),F382,"")</f>
      </c>
      <c r="M382" s="14">
        <f>IF(AND(G382="Наличные",H382="Не оплачено"),F382,"")</f>
      </c>
      <c r="N382" s="13">
        <f>IF(AND(G382="Терминал",H382="Оплачено"),F382,"")</f>
      </c>
      <c r="O382" s="14">
        <f>IF(AND(G382="Терминал",H382="Не оплачено"),F382,"")</f>
      </c>
      <c r="P382" s="13">
        <f>IF(AND(G382="Перечисление",H382="Оплачено"),F382,"")</f>
      </c>
      <c r="Q382" s="14">
        <f>IF(AND(G382="Перечисление",H382="Не оплачено"),F382,"")</f>
      </c>
    </row>
    <row r="383">
      <c r="A383" s="9">
        <v>380</v>
      </c>
      <c r="B383" s="7"/>
      <c r="C383" s="6"/>
      <c r="D383" s="8"/>
      <c r="E383" s="8"/>
      <c r="F383" s="4"/>
      <c r="G383" s="8"/>
      <c r="H383" s="8"/>
      <c r="I383" s="8"/>
      <c r="J383" s="13">
        <f>IF(AND(G383="Карта",H383="Оплачено"),F383,"")</f>
      </c>
      <c r="K383" s="14">
        <f>IF(AND(G383="Карта",H383="Не оплачено"),F383,"")</f>
      </c>
      <c r="L383" s="13">
        <f>IF(AND(G383="Наличные",H383="Оплачено"),F383,"")</f>
      </c>
      <c r="M383" s="14">
        <f>IF(AND(G383="Наличные",H383="Не оплачено"),F383,"")</f>
      </c>
      <c r="N383" s="13">
        <f>IF(AND(G383="Терминал",H383="Оплачено"),F383,"")</f>
      </c>
      <c r="O383" s="14">
        <f>IF(AND(G383="Терминал",H383="Не оплачено"),F383,"")</f>
      </c>
      <c r="P383" s="13">
        <f>IF(AND(G383="Перечисление",H383="Оплачено"),F383,"")</f>
      </c>
      <c r="Q383" s="14">
        <f>IF(AND(G383="Перечисление",H383="Не оплачено"),F383,"")</f>
      </c>
    </row>
    <row r="384">
      <c r="A384" s="9">
        <v>381</v>
      </c>
      <c r="B384" s="7"/>
      <c r="C384" s="6"/>
      <c r="D384" s="8"/>
      <c r="E384" s="8"/>
      <c r="F384" s="4"/>
      <c r="G384" s="8"/>
      <c r="H384" s="8"/>
      <c r="I384" s="8"/>
      <c r="J384" s="13">
        <f>IF(AND(G384="Карта",H384="Оплачено"),F384,"")</f>
      </c>
      <c r="K384" s="14">
        <f>IF(AND(G384="Карта",H384="Не оплачено"),F384,"")</f>
      </c>
      <c r="L384" s="13">
        <f>IF(AND(G384="Наличные",H384="Оплачено"),F384,"")</f>
      </c>
      <c r="M384" s="14">
        <f>IF(AND(G384="Наличные",H384="Не оплачено"),F384,"")</f>
      </c>
      <c r="N384" s="13">
        <f>IF(AND(G384="Терминал",H384="Оплачено"),F384,"")</f>
      </c>
      <c r="O384" s="14">
        <f>IF(AND(G384="Терминал",H384="Не оплачено"),F384,"")</f>
      </c>
      <c r="P384" s="13">
        <f>IF(AND(G384="Перечисление",H384="Оплачено"),F384,"")</f>
      </c>
      <c r="Q384" s="14">
        <f>IF(AND(G384="Перечисление",H384="Не оплачено"),F384,"")</f>
      </c>
    </row>
    <row r="385">
      <c r="A385" s="9">
        <v>382</v>
      </c>
      <c r="B385" s="7"/>
      <c r="C385" s="6"/>
      <c r="D385" s="8"/>
      <c r="E385" s="8"/>
      <c r="F385" s="4"/>
      <c r="G385" s="8"/>
      <c r="H385" s="8"/>
      <c r="I385" s="8"/>
      <c r="J385" s="13">
        <f>IF(AND(G385="Карта",H385="Оплачено"),F385,"")</f>
      </c>
      <c r="K385" s="14">
        <f>IF(AND(G385="Карта",H385="Не оплачено"),F385,"")</f>
      </c>
      <c r="L385" s="13">
        <f>IF(AND(G385="Наличные",H385="Оплачено"),F385,"")</f>
      </c>
      <c r="M385" s="14">
        <f>IF(AND(G385="Наличные",H385="Не оплачено"),F385,"")</f>
      </c>
      <c r="N385" s="13">
        <f>IF(AND(G385="Терминал",H385="Оплачено"),F385,"")</f>
      </c>
      <c r="O385" s="14">
        <f>IF(AND(G385="Терминал",H385="Не оплачено"),F385,"")</f>
      </c>
      <c r="P385" s="13">
        <f>IF(AND(G385="Перечисление",H385="Оплачено"),F385,"")</f>
      </c>
      <c r="Q385" s="14">
        <f>IF(AND(G385="Перечисление",H385="Не оплачено"),F385,"")</f>
      </c>
    </row>
    <row r="386">
      <c r="A386" s="9">
        <v>383</v>
      </c>
      <c r="B386" s="7"/>
      <c r="C386" s="6"/>
      <c r="D386" s="8"/>
      <c r="E386" s="8"/>
      <c r="F386" s="4"/>
      <c r="G386" s="8"/>
      <c r="H386" s="8"/>
      <c r="I386" s="8"/>
      <c r="J386" s="13">
        <f>IF(AND(G386="Карта",H386="Оплачено"),F386,"")</f>
      </c>
      <c r="K386" s="14">
        <f>IF(AND(G386="Карта",H386="Не оплачено"),F386,"")</f>
      </c>
      <c r="L386" s="13">
        <f>IF(AND(G386="Наличные",H386="Оплачено"),F386,"")</f>
      </c>
      <c r="M386" s="14">
        <f>IF(AND(G386="Наличные",H386="Не оплачено"),F386,"")</f>
      </c>
      <c r="N386" s="13">
        <f>IF(AND(G386="Терминал",H386="Оплачено"),F386,"")</f>
      </c>
      <c r="O386" s="14">
        <f>IF(AND(G386="Терминал",H386="Не оплачено"),F386,"")</f>
      </c>
      <c r="P386" s="13">
        <f>IF(AND(G386="Перечисление",H386="Оплачено"),F386,"")</f>
      </c>
      <c r="Q386" s="14">
        <f>IF(AND(G386="Перечисление",H386="Не оплачено"),F386,"")</f>
      </c>
    </row>
    <row r="387">
      <c r="A387" s="9">
        <v>384</v>
      </c>
      <c r="B387" s="7"/>
      <c r="C387" s="6"/>
      <c r="D387" s="8"/>
      <c r="E387" s="8"/>
      <c r="F387" s="4"/>
      <c r="G387" s="8"/>
      <c r="H387" s="8"/>
      <c r="I387" s="8"/>
      <c r="J387" s="13">
        <f>IF(AND(G387="Карта",H387="Оплачено"),F387,"")</f>
      </c>
      <c r="K387" s="14">
        <f>IF(AND(G387="Карта",H387="Не оплачено"),F387,"")</f>
      </c>
      <c r="L387" s="13">
        <f>IF(AND(G387="Наличные",H387="Оплачено"),F387,"")</f>
      </c>
      <c r="M387" s="14">
        <f>IF(AND(G387="Наличные",H387="Не оплачено"),F387,"")</f>
      </c>
      <c r="N387" s="13">
        <f>IF(AND(G387="Терминал",H387="Оплачено"),F387,"")</f>
      </c>
      <c r="O387" s="14">
        <f>IF(AND(G387="Терминал",H387="Не оплачено"),F387,"")</f>
      </c>
      <c r="P387" s="13">
        <f>IF(AND(G387="Перечисление",H387="Оплачено"),F387,"")</f>
      </c>
      <c r="Q387" s="14">
        <f>IF(AND(G387="Перечисление",H387="Не оплачено"),F387,"")</f>
      </c>
    </row>
    <row r="388">
      <c r="A388" s="9">
        <v>385</v>
      </c>
      <c r="B388" s="7"/>
      <c r="C388" s="6"/>
      <c r="D388" s="8"/>
      <c r="E388" s="8"/>
      <c r="F388" s="4"/>
      <c r="G388" s="8"/>
      <c r="H388" s="8"/>
      <c r="I388" s="8"/>
      <c r="J388" s="13">
        <f>IF(AND(G388="Карта",H388="Оплачено"),F388,"")</f>
      </c>
      <c r="K388" s="14">
        <f>IF(AND(G388="Карта",H388="Не оплачено"),F388,"")</f>
      </c>
      <c r="L388" s="13">
        <f>IF(AND(G388="Наличные",H388="Оплачено"),F388,"")</f>
      </c>
      <c r="M388" s="14">
        <f>IF(AND(G388="Наличные",H388="Не оплачено"),F388,"")</f>
      </c>
      <c r="N388" s="13">
        <f>IF(AND(G388="Терминал",H388="Оплачено"),F388,"")</f>
      </c>
      <c r="O388" s="14">
        <f>IF(AND(G388="Терминал",H388="Не оплачено"),F388,"")</f>
      </c>
      <c r="P388" s="13">
        <f>IF(AND(G388="Перечисление",H388="Оплачено"),F388,"")</f>
      </c>
      <c r="Q388" s="14">
        <f>IF(AND(G388="Перечисление",H388="Не оплачено"),F388,"")</f>
      </c>
    </row>
    <row r="389">
      <c r="A389" s="9">
        <v>386</v>
      </c>
      <c r="B389" s="7"/>
      <c r="C389" s="6"/>
      <c r="D389" s="8"/>
      <c r="E389" s="8"/>
      <c r="F389" s="4"/>
      <c r="G389" s="8"/>
      <c r="H389" s="8"/>
      <c r="I389" s="8"/>
      <c r="J389" s="13">
        <f>IF(AND(G389="Карта",H389="Оплачено"),F389,"")</f>
      </c>
      <c r="K389" s="14">
        <f>IF(AND(G389="Карта",H389="Не оплачено"),F389,"")</f>
      </c>
      <c r="L389" s="13">
        <f>IF(AND(G389="Наличные",H389="Оплачено"),F389,"")</f>
      </c>
      <c r="M389" s="14">
        <f>IF(AND(G389="Наличные",H389="Не оплачено"),F389,"")</f>
      </c>
      <c r="N389" s="13">
        <f>IF(AND(G389="Терминал",H389="Оплачено"),F389,"")</f>
      </c>
      <c r="O389" s="14">
        <f>IF(AND(G389="Терминал",H389="Не оплачено"),F389,"")</f>
      </c>
      <c r="P389" s="13">
        <f>IF(AND(G389="Перечисление",H389="Оплачено"),F389,"")</f>
      </c>
      <c r="Q389" s="14">
        <f>IF(AND(G389="Перечисление",H389="Не оплачено"),F389,"")</f>
      </c>
    </row>
    <row r="390">
      <c r="A390" s="9">
        <v>387</v>
      </c>
      <c r="B390" s="7"/>
      <c r="C390" s="6"/>
      <c r="D390" s="8"/>
      <c r="E390" s="8"/>
      <c r="F390" s="4"/>
      <c r="G390" s="8"/>
      <c r="H390" s="8"/>
      <c r="I390" s="8"/>
      <c r="J390" s="13">
        <f>IF(AND(G390="Карта",H390="Оплачено"),F390,"")</f>
      </c>
      <c r="K390" s="14">
        <f>IF(AND(G390="Карта",H390="Не оплачено"),F390,"")</f>
      </c>
      <c r="L390" s="13">
        <f>IF(AND(G390="Наличные",H390="Оплачено"),F390,"")</f>
      </c>
      <c r="M390" s="14">
        <f>IF(AND(G390="Наличные",H390="Не оплачено"),F390,"")</f>
      </c>
      <c r="N390" s="13">
        <f>IF(AND(G390="Терминал",H390="Оплачено"),F390,"")</f>
      </c>
      <c r="O390" s="14">
        <f>IF(AND(G390="Терминал",H390="Не оплачено"),F390,"")</f>
      </c>
      <c r="P390" s="13">
        <f>IF(AND(G390="Перечисление",H390="Оплачено"),F390,"")</f>
      </c>
      <c r="Q390" s="14">
        <f>IF(AND(G390="Перечисление",H390="Не оплачено"),F390,"")</f>
      </c>
    </row>
    <row r="391">
      <c r="A391" s="9">
        <v>388</v>
      </c>
      <c r="B391" s="7"/>
      <c r="C391" s="6"/>
      <c r="D391" s="8"/>
      <c r="E391" s="8"/>
      <c r="F391" s="4"/>
      <c r="G391" s="8"/>
      <c r="H391" s="8"/>
      <c r="I391" s="8"/>
      <c r="J391" s="13">
        <f>IF(AND(G391="Карта",H391="Оплачено"),F391,"")</f>
      </c>
      <c r="K391" s="14">
        <f>IF(AND(G391="Карта",H391="Не оплачено"),F391,"")</f>
      </c>
      <c r="L391" s="13">
        <f>IF(AND(G391="Наличные",H391="Оплачено"),F391,"")</f>
      </c>
      <c r="M391" s="14">
        <f>IF(AND(G391="Наличные",H391="Не оплачено"),F391,"")</f>
      </c>
      <c r="N391" s="13">
        <f>IF(AND(G391="Терминал",H391="Оплачено"),F391,"")</f>
      </c>
      <c r="O391" s="14">
        <f>IF(AND(G391="Терминал",H391="Не оплачено"),F391,"")</f>
      </c>
      <c r="P391" s="13">
        <f>IF(AND(G391="Перечисление",H391="Оплачено"),F391,"")</f>
      </c>
      <c r="Q391" s="14">
        <f>IF(AND(G391="Перечисление",H391="Не оплачено"),F391,"")</f>
      </c>
    </row>
    <row r="392">
      <c r="A392" s="9">
        <v>389</v>
      </c>
      <c r="B392" s="7"/>
      <c r="C392" s="6"/>
      <c r="D392" s="8"/>
      <c r="E392" s="8"/>
      <c r="F392" s="4"/>
      <c r="G392" s="8"/>
      <c r="H392" s="8"/>
      <c r="I392" s="8"/>
      <c r="J392" s="13">
        <f>IF(AND(G392="Карта",H392="Оплачено"),F392,"")</f>
      </c>
      <c r="K392" s="14">
        <f>IF(AND(G392="Карта",H392="Не оплачено"),F392,"")</f>
      </c>
      <c r="L392" s="13">
        <f>IF(AND(G392="Наличные",H392="Оплачено"),F392,"")</f>
      </c>
      <c r="M392" s="14">
        <f>IF(AND(G392="Наличные",H392="Не оплачено"),F392,"")</f>
      </c>
      <c r="N392" s="13">
        <f>IF(AND(G392="Терминал",H392="Оплачено"),F392,"")</f>
      </c>
      <c r="O392" s="14">
        <f>IF(AND(G392="Терминал",H392="Не оплачено"),F392,"")</f>
      </c>
      <c r="P392" s="13">
        <f>IF(AND(G392="Перечисление",H392="Оплачено"),F392,"")</f>
      </c>
      <c r="Q392" s="14">
        <f>IF(AND(G392="Перечисление",H392="Не оплачено"),F392,"")</f>
      </c>
    </row>
    <row r="393">
      <c r="A393" s="9">
        <v>390</v>
      </c>
      <c r="B393" s="7"/>
      <c r="C393" s="6"/>
      <c r="D393" s="8"/>
      <c r="E393" s="8"/>
      <c r="F393" s="4"/>
      <c r="G393" s="8"/>
      <c r="H393" s="8"/>
      <c r="I393" s="8"/>
      <c r="J393" s="13">
        <f>IF(AND(G393="Карта",H393="Оплачено"),F393,"")</f>
      </c>
      <c r="K393" s="14">
        <f>IF(AND(G393="Карта",H393="Не оплачено"),F393,"")</f>
      </c>
      <c r="L393" s="13">
        <f>IF(AND(G393="Наличные",H393="Оплачено"),F393,"")</f>
      </c>
      <c r="M393" s="14">
        <f>IF(AND(G393="Наличные",H393="Не оплачено"),F393,"")</f>
      </c>
      <c r="N393" s="13">
        <f>IF(AND(G393="Терминал",H393="Оплачено"),F393,"")</f>
      </c>
      <c r="O393" s="14">
        <f>IF(AND(G393="Терминал",H393="Не оплачено"),F393,"")</f>
      </c>
      <c r="P393" s="13">
        <f>IF(AND(G393="Перечисление",H393="Оплачено"),F393,"")</f>
      </c>
      <c r="Q393" s="14">
        <f>IF(AND(G393="Перечисление",H393="Не оплачено"),F393,"")</f>
      </c>
    </row>
    <row r="394">
      <c r="A394" s="9">
        <v>391</v>
      </c>
      <c r="B394" s="7"/>
      <c r="C394" s="6"/>
      <c r="D394" s="8"/>
      <c r="E394" s="8"/>
      <c r="F394" s="4"/>
      <c r="G394" s="8"/>
      <c r="H394" s="8"/>
      <c r="I394" s="8"/>
      <c r="J394" s="13">
        <f>IF(AND(G394="Карта",H394="Оплачено"),F394,"")</f>
      </c>
      <c r="K394" s="14">
        <f>IF(AND(G394="Карта",H394="Не оплачено"),F394,"")</f>
      </c>
      <c r="L394" s="13">
        <f>IF(AND(G394="Наличные",H394="Оплачено"),F394,"")</f>
      </c>
      <c r="M394" s="14">
        <f>IF(AND(G394="Наличные",H394="Не оплачено"),F394,"")</f>
      </c>
      <c r="N394" s="13">
        <f>IF(AND(G394="Терминал",H394="Оплачено"),F394,"")</f>
      </c>
      <c r="O394" s="14">
        <f>IF(AND(G394="Терминал",H394="Не оплачено"),F394,"")</f>
      </c>
      <c r="P394" s="13">
        <f>IF(AND(G394="Перечисление",H394="Оплачено"),F394,"")</f>
      </c>
      <c r="Q394" s="14">
        <f>IF(AND(G394="Перечисление",H394="Не оплачено"),F394,"")</f>
      </c>
    </row>
    <row r="395">
      <c r="A395" s="9">
        <v>392</v>
      </c>
      <c r="B395" s="7"/>
      <c r="C395" s="6"/>
      <c r="D395" s="8"/>
      <c r="E395" s="8"/>
      <c r="F395" s="4"/>
      <c r="G395" s="8"/>
      <c r="H395" s="8"/>
      <c r="I395" s="8"/>
      <c r="J395" s="13">
        <f>IF(AND(G395="Карта",H395="Оплачено"),F395,"")</f>
      </c>
      <c r="K395" s="14">
        <f>IF(AND(G395="Карта",H395="Не оплачено"),F395,"")</f>
      </c>
      <c r="L395" s="13">
        <f>IF(AND(G395="Наличные",H395="Оплачено"),F395,"")</f>
      </c>
      <c r="M395" s="14">
        <f>IF(AND(G395="Наличные",H395="Не оплачено"),F395,"")</f>
      </c>
      <c r="N395" s="13">
        <f>IF(AND(G395="Терминал",H395="Оплачено"),F395,"")</f>
      </c>
      <c r="O395" s="14">
        <f>IF(AND(G395="Терминал",H395="Не оплачено"),F395,"")</f>
      </c>
      <c r="P395" s="13">
        <f>IF(AND(G395="Перечисление",H395="Оплачено"),F395,"")</f>
      </c>
      <c r="Q395" s="14">
        <f>IF(AND(G395="Перечисление",H395="Не оплачено"),F395,"")</f>
      </c>
    </row>
    <row r="396">
      <c r="A396" s="9">
        <v>393</v>
      </c>
      <c r="B396" s="7"/>
      <c r="C396" s="6"/>
      <c r="D396" s="8"/>
      <c r="E396" s="8"/>
      <c r="F396" s="4"/>
      <c r="G396" s="8"/>
      <c r="H396" s="8"/>
      <c r="I396" s="8"/>
      <c r="J396" s="13">
        <f>IF(AND(G396="Карта",H396="Оплачено"),F396,"")</f>
      </c>
      <c r="K396" s="14">
        <f>IF(AND(G396="Карта",H396="Не оплачено"),F396,"")</f>
      </c>
      <c r="L396" s="13">
        <f>IF(AND(G396="Наличные",H396="Оплачено"),F396,"")</f>
      </c>
      <c r="M396" s="14">
        <f>IF(AND(G396="Наличные",H396="Не оплачено"),F396,"")</f>
      </c>
      <c r="N396" s="13">
        <f>IF(AND(G396="Терминал",H396="Оплачено"),F396,"")</f>
      </c>
      <c r="O396" s="14">
        <f>IF(AND(G396="Терминал",H396="Не оплачено"),F396,"")</f>
      </c>
      <c r="P396" s="13">
        <f>IF(AND(G396="Перечисление",H396="Оплачено"),F396,"")</f>
      </c>
      <c r="Q396" s="14">
        <f>IF(AND(G396="Перечисление",H396="Не оплачено"),F396,"")</f>
      </c>
    </row>
    <row r="397">
      <c r="A397" s="9">
        <v>394</v>
      </c>
      <c r="B397" s="7"/>
      <c r="C397" s="6"/>
      <c r="D397" s="8"/>
      <c r="E397" s="8"/>
      <c r="F397" s="4"/>
      <c r="G397" s="8"/>
      <c r="H397" s="8"/>
      <c r="I397" s="8"/>
      <c r="J397" s="13">
        <f>IF(AND(G397="Карта",H397="Оплачено"),F397,"")</f>
      </c>
      <c r="K397" s="14">
        <f>IF(AND(G397="Карта",H397="Не оплачено"),F397,"")</f>
      </c>
      <c r="L397" s="13">
        <f>IF(AND(G397="Наличные",H397="Оплачено"),F397,"")</f>
      </c>
      <c r="M397" s="14">
        <f>IF(AND(G397="Наличные",H397="Не оплачено"),F397,"")</f>
      </c>
      <c r="N397" s="13">
        <f>IF(AND(G397="Терминал",H397="Оплачено"),F397,"")</f>
      </c>
      <c r="O397" s="14">
        <f>IF(AND(G397="Терминал",H397="Не оплачено"),F397,"")</f>
      </c>
      <c r="P397" s="13">
        <f>IF(AND(G397="Перечисление",H397="Оплачено"),F397,"")</f>
      </c>
      <c r="Q397" s="14">
        <f>IF(AND(G397="Перечисление",H397="Не оплачено"),F397,"")</f>
      </c>
    </row>
    <row r="398">
      <c r="A398" s="9">
        <v>395</v>
      </c>
      <c r="B398" s="7"/>
      <c r="C398" s="6"/>
      <c r="D398" s="8"/>
      <c r="E398" s="8"/>
      <c r="F398" s="4"/>
      <c r="G398" s="8"/>
      <c r="H398" s="8"/>
      <c r="I398" s="8"/>
      <c r="J398" s="13">
        <f>IF(AND(G398="Карта",H398="Оплачено"),F398,"")</f>
      </c>
      <c r="K398" s="14">
        <f>IF(AND(G398="Карта",H398="Не оплачено"),F398,"")</f>
      </c>
      <c r="L398" s="13">
        <f>IF(AND(G398="Наличные",H398="Оплачено"),F398,"")</f>
      </c>
      <c r="M398" s="14">
        <f>IF(AND(G398="Наличные",H398="Не оплачено"),F398,"")</f>
      </c>
      <c r="N398" s="13">
        <f>IF(AND(G398="Терминал",H398="Оплачено"),F398,"")</f>
      </c>
      <c r="O398" s="14">
        <f>IF(AND(G398="Терминал",H398="Не оплачено"),F398,"")</f>
      </c>
      <c r="P398" s="13">
        <f>IF(AND(G398="Перечисление",H398="Оплачено"),F398,"")</f>
      </c>
      <c r="Q398" s="14">
        <f>IF(AND(G398="Перечисление",H398="Не оплачено"),F398,"")</f>
      </c>
    </row>
    <row r="399">
      <c r="A399" s="9">
        <v>396</v>
      </c>
      <c r="B399" s="7"/>
      <c r="C399" s="6"/>
      <c r="D399" s="8"/>
      <c r="E399" s="8"/>
      <c r="F399" s="4"/>
      <c r="G399" s="8"/>
      <c r="H399" s="8"/>
      <c r="I399" s="8"/>
      <c r="J399" s="13">
        <f>IF(AND(G399="Карта",H399="Оплачено"),F399,"")</f>
      </c>
      <c r="K399" s="14">
        <f>IF(AND(G399="Карта",H399="Не оплачено"),F399,"")</f>
      </c>
      <c r="L399" s="13">
        <f>IF(AND(G399="Наличные",H399="Оплачено"),F399,"")</f>
      </c>
      <c r="M399" s="14">
        <f>IF(AND(G399="Наличные",H399="Не оплачено"),F399,"")</f>
      </c>
      <c r="N399" s="13">
        <f>IF(AND(G399="Терминал",H399="Оплачено"),F399,"")</f>
      </c>
      <c r="O399" s="14">
        <f>IF(AND(G399="Терминал",H399="Не оплачено"),F399,"")</f>
      </c>
      <c r="P399" s="13">
        <f>IF(AND(G399="Перечисление",H399="Оплачено"),F399,"")</f>
      </c>
      <c r="Q399" s="14">
        <f>IF(AND(G399="Перечисление",H399="Не оплачено"),F399,"")</f>
      </c>
    </row>
    <row r="400">
      <c r="A400" s="9">
        <v>397</v>
      </c>
      <c r="B400" s="7"/>
      <c r="C400" s="6"/>
      <c r="D400" s="8"/>
      <c r="E400" s="8"/>
      <c r="F400" s="4"/>
      <c r="G400" s="8"/>
      <c r="H400" s="8"/>
      <c r="I400" s="8"/>
      <c r="J400" s="13">
        <f>IF(AND(G400="Карта",H400="Оплачено"),F400,"")</f>
      </c>
      <c r="K400" s="14">
        <f>IF(AND(G400="Карта",H400="Не оплачено"),F400,"")</f>
      </c>
      <c r="L400" s="13">
        <f>IF(AND(G400="Наличные",H400="Оплачено"),F400,"")</f>
      </c>
      <c r="M400" s="14">
        <f>IF(AND(G400="Наличные",H400="Не оплачено"),F400,"")</f>
      </c>
      <c r="N400" s="13">
        <f>IF(AND(G400="Терминал",H400="Оплачено"),F400,"")</f>
      </c>
      <c r="O400" s="14">
        <f>IF(AND(G400="Терминал",H400="Не оплачено"),F400,"")</f>
      </c>
      <c r="P400" s="13">
        <f>IF(AND(G400="Перечисление",H400="Оплачено"),F400,"")</f>
      </c>
      <c r="Q400" s="14">
        <f>IF(AND(G400="Перечисление",H400="Не оплачено"),F400,"")</f>
      </c>
    </row>
    <row r="401">
      <c r="A401" s="9">
        <v>398</v>
      </c>
      <c r="B401" s="7"/>
      <c r="C401" s="6"/>
      <c r="D401" s="8"/>
      <c r="E401" s="8"/>
      <c r="F401" s="4"/>
      <c r="G401" s="8"/>
      <c r="H401" s="8"/>
      <c r="I401" s="8"/>
      <c r="J401" s="13">
        <f>IF(AND(G401="Карта",H401="Оплачено"),F401,"")</f>
      </c>
      <c r="K401" s="14">
        <f>IF(AND(G401="Карта",H401="Не оплачено"),F401,"")</f>
      </c>
      <c r="L401" s="13">
        <f>IF(AND(G401="Наличные",H401="Оплачено"),F401,"")</f>
      </c>
      <c r="M401" s="14">
        <f>IF(AND(G401="Наличные",H401="Не оплачено"),F401,"")</f>
      </c>
      <c r="N401" s="13">
        <f>IF(AND(G401="Терминал",H401="Оплачено"),F401,"")</f>
      </c>
      <c r="O401" s="14">
        <f>IF(AND(G401="Терминал",H401="Не оплачено"),F401,"")</f>
      </c>
      <c r="P401" s="13">
        <f>IF(AND(G401="Перечисление",H401="Оплачено"),F401,"")</f>
      </c>
      <c r="Q401" s="14">
        <f>IF(AND(G401="Перечисление",H401="Не оплачено"),F401,"")</f>
      </c>
    </row>
    <row r="402">
      <c r="A402" s="9">
        <v>399</v>
      </c>
      <c r="B402" s="7"/>
      <c r="C402" s="6"/>
      <c r="D402" s="8"/>
      <c r="E402" s="8"/>
      <c r="F402" s="4"/>
      <c r="G402" s="8"/>
      <c r="H402" s="8"/>
      <c r="I402" s="8"/>
      <c r="J402" s="13">
        <f>IF(AND(G402="Карта",H402="Оплачено"),F402,"")</f>
      </c>
      <c r="K402" s="14">
        <f>IF(AND(G402="Карта",H402="Не оплачено"),F402,"")</f>
      </c>
      <c r="L402" s="13">
        <f>IF(AND(G402="Наличные",H402="Оплачено"),F402,"")</f>
      </c>
      <c r="M402" s="14">
        <f>IF(AND(G402="Наличные",H402="Не оплачено"),F402,"")</f>
      </c>
      <c r="N402" s="13">
        <f>IF(AND(G402="Терминал",H402="Оплачено"),F402,"")</f>
      </c>
      <c r="O402" s="14">
        <f>IF(AND(G402="Терминал",H402="Не оплачено"),F402,"")</f>
      </c>
      <c r="P402" s="13">
        <f>IF(AND(G402="Перечисление",H402="Оплачено"),F402,"")</f>
      </c>
      <c r="Q402" s="14">
        <f>IF(AND(G402="Перечисление",H402="Не оплачено"),F402,"")</f>
      </c>
    </row>
    <row r="403">
      <c r="A403" s="9">
        <v>400</v>
      </c>
      <c r="B403" s="7"/>
      <c r="C403" s="6"/>
      <c r="D403" s="8"/>
      <c r="E403" s="8"/>
      <c r="F403" s="4"/>
      <c r="G403" s="8"/>
      <c r="H403" s="8"/>
      <c r="I403" s="8"/>
      <c r="J403" s="13">
        <f>IF(AND(G403="Карта",H403="Оплачено"),F403,"")</f>
      </c>
      <c r="K403" s="14">
        <f>IF(AND(G403="Карта",H403="Не оплачено"),F403,"")</f>
      </c>
      <c r="L403" s="13">
        <f>IF(AND(G403="Наличные",H403="Оплачено"),F403,"")</f>
      </c>
      <c r="M403" s="14">
        <f>IF(AND(G403="Наличные",H403="Не оплачено"),F403,"")</f>
      </c>
      <c r="N403" s="13">
        <f>IF(AND(G403="Терминал",H403="Оплачено"),F403,"")</f>
      </c>
      <c r="O403" s="14">
        <f>IF(AND(G403="Терминал",H403="Не оплачено"),F403,"")</f>
      </c>
      <c r="P403" s="13">
        <f>IF(AND(G403="Перечисление",H403="Оплачено"),F403,"")</f>
      </c>
      <c r="Q403" s="14">
        <f>IF(AND(G403="Перечисление",H403="Не оплачено"),F403,"")</f>
      </c>
    </row>
    <row r="404">
      <c r="A404" s="9">
        <v>401</v>
      </c>
      <c r="B404" s="7"/>
      <c r="C404" s="6"/>
      <c r="D404" s="8"/>
      <c r="E404" s="8"/>
      <c r="F404" s="4"/>
      <c r="G404" s="8"/>
      <c r="H404" s="8"/>
      <c r="I404" s="8"/>
      <c r="J404" s="13">
        <f>IF(AND(G404="Карта",H404="Оплачено"),F404,"")</f>
      </c>
      <c r="K404" s="14">
        <f>IF(AND(G404="Карта",H404="Не оплачено"),F404,"")</f>
      </c>
      <c r="L404" s="13">
        <f>IF(AND(G404="Наличные",H404="Оплачено"),F404,"")</f>
      </c>
      <c r="M404" s="14">
        <f>IF(AND(G404="Наличные",H404="Не оплачено"),F404,"")</f>
      </c>
      <c r="N404" s="13">
        <f>IF(AND(G404="Терминал",H404="Оплачено"),F404,"")</f>
      </c>
      <c r="O404" s="14">
        <f>IF(AND(G404="Терминал",H404="Не оплачено"),F404,"")</f>
      </c>
      <c r="P404" s="13">
        <f>IF(AND(G404="Перечисление",H404="Оплачено"),F404,"")</f>
      </c>
      <c r="Q404" s="14">
        <f>IF(AND(G404="Перечисление",H404="Не оплачено"),F404,"")</f>
      </c>
    </row>
    <row r="405">
      <c r="A405" s="9">
        <v>402</v>
      </c>
      <c r="B405" s="7"/>
      <c r="C405" s="6"/>
      <c r="D405" s="8"/>
      <c r="E405" s="8"/>
      <c r="F405" s="4"/>
      <c r="G405" s="8"/>
      <c r="H405" s="8"/>
      <c r="I405" s="8"/>
      <c r="J405" s="13">
        <f>IF(AND(G405="Карта",H405="Оплачено"),F405,"")</f>
      </c>
      <c r="K405" s="14">
        <f>IF(AND(G405="Карта",H405="Не оплачено"),F405,"")</f>
      </c>
      <c r="L405" s="13">
        <f>IF(AND(G405="Наличные",H405="Оплачено"),F405,"")</f>
      </c>
      <c r="M405" s="14">
        <f>IF(AND(G405="Наличные",H405="Не оплачено"),F405,"")</f>
      </c>
      <c r="N405" s="13">
        <f>IF(AND(G405="Терминал",H405="Оплачено"),F405,"")</f>
      </c>
      <c r="O405" s="14">
        <f>IF(AND(G405="Терминал",H405="Не оплачено"),F405,"")</f>
      </c>
      <c r="P405" s="13">
        <f>IF(AND(G405="Перечисление",H405="Оплачено"),F405,"")</f>
      </c>
      <c r="Q405" s="14">
        <f>IF(AND(G405="Перечисление",H405="Не оплачено"),F405,"")</f>
      </c>
    </row>
    <row r="406">
      <c r="A406" s="9">
        <v>403</v>
      </c>
      <c r="B406" s="7"/>
      <c r="C406" s="6"/>
      <c r="D406" s="8"/>
      <c r="E406" s="8"/>
      <c r="F406" s="4"/>
      <c r="G406" s="8"/>
      <c r="H406" s="8"/>
      <c r="I406" s="8"/>
      <c r="J406" s="13">
        <f>IF(AND(G406="Карта",H406="Оплачено"),F406,"")</f>
      </c>
      <c r="K406" s="14">
        <f>IF(AND(G406="Карта",H406="Не оплачено"),F406,"")</f>
      </c>
      <c r="L406" s="13">
        <f>IF(AND(G406="Наличные",H406="Оплачено"),F406,"")</f>
      </c>
      <c r="M406" s="14">
        <f>IF(AND(G406="Наличные",H406="Не оплачено"),F406,"")</f>
      </c>
      <c r="N406" s="13">
        <f>IF(AND(G406="Терминал",H406="Оплачено"),F406,"")</f>
      </c>
      <c r="O406" s="14">
        <f>IF(AND(G406="Терминал",H406="Не оплачено"),F406,"")</f>
      </c>
      <c r="P406" s="13">
        <f>IF(AND(G406="Перечисление",H406="Оплачено"),F406,"")</f>
      </c>
      <c r="Q406" s="14">
        <f>IF(AND(G406="Перечисление",H406="Не оплачено"),F406,"")</f>
      </c>
    </row>
    <row r="407">
      <c r="A407" s="9">
        <v>404</v>
      </c>
      <c r="B407" s="7"/>
      <c r="C407" s="6"/>
      <c r="D407" s="8"/>
      <c r="E407" s="8"/>
      <c r="F407" s="4"/>
      <c r="G407" s="8"/>
      <c r="H407" s="8"/>
      <c r="I407" s="8"/>
      <c r="J407" s="13">
        <f>IF(AND(G407="Карта",H407="Оплачено"),F407,"")</f>
      </c>
      <c r="K407" s="14">
        <f>IF(AND(G407="Карта",H407="Не оплачено"),F407,"")</f>
      </c>
      <c r="L407" s="13">
        <f>IF(AND(G407="Наличные",H407="Оплачено"),F407,"")</f>
      </c>
      <c r="M407" s="14">
        <f>IF(AND(G407="Наличные",H407="Не оплачено"),F407,"")</f>
      </c>
      <c r="N407" s="13">
        <f>IF(AND(G407="Терминал",H407="Оплачено"),F407,"")</f>
      </c>
      <c r="O407" s="14">
        <f>IF(AND(G407="Терминал",H407="Не оплачено"),F407,"")</f>
      </c>
      <c r="P407" s="13">
        <f>IF(AND(G407="Перечисление",H407="Оплачено"),F407,"")</f>
      </c>
      <c r="Q407" s="14">
        <f>IF(AND(G407="Перечисление",H407="Не оплачено"),F407,"")</f>
      </c>
    </row>
    <row r="408">
      <c r="A408" s="9">
        <v>405</v>
      </c>
      <c r="B408" s="7"/>
      <c r="C408" s="6"/>
      <c r="D408" s="8"/>
      <c r="E408" s="8"/>
      <c r="F408" s="4"/>
      <c r="G408" s="8"/>
      <c r="H408" s="8"/>
      <c r="I408" s="8"/>
      <c r="J408" s="13">
        <f>IF(AND(G408="Карта",H408="Оплачено"),F408,"")</f>
      </c>
      <c r="K408" s="14">
        <f>IF(AND(G408="Карта",H408="Не оплачено"),F408,"")</f>
      </c>
      <c r="L408" s="13">
        <f>IF(AND(G408="Наличные",H408="Оплачено"),F408,"")</f>
      </c>
      <c r="M408" s="14">
        <f>IF(AND(G408="Наличные",H408="Не оплачено"),F408,"")</f>
      </c>
      <c r="N408" s="13">
        <f>IF(AND(G408="Терминал",H408="Оплачено"),F408,"")</f>
      </c>
      <c r="O408" s="14">
        <f>IF(AND(G408="Терминал",H408="Не оплачено"),F408,"")</f>
      </c>
      <c r="P408" s="13">
        <f>IF(AND(G408="Перечисление",H408="Оплачено"),F408,"")</f>
      </c>
      <c r="Q408" s="14">
        <f>IF(AND(G408="Перечисление",H408="Не оплачено"),F408,"")</f>
      </c>
    </row>
    <row r="409">
      <c r="A409" s="9">
        <v>406</v>
      </c>
      <c r="B409" s="7"/>
      <c r="C409" s="6"/>
      <c r="D409" s="8"/>
      <c r="E409" s="8"/>
      <c r="F409" s="4"/>
      <c r="G409" s="8"/>
      <c r="H409" s="8"/>
      <c r="I409" s="8"/>
      <c r="J409" s="13">
        <f>IF(AND(G409="Карта",H409="Оплачено"),F409,"")</f>
      </c>
      <c r="K409" s="14">
        <f>IF(AND(G409="Карта",H409="Не оплачено"),F409,"")</f>
      </c>
      <c r="L409" s="13">
        <f>IF(AND(G409="Наличные",H409="Оплачено"),F409,"")</f>
      </c>
      <c r="M409" s="14">
        <f>IF(AND(G409="Наличные",H409="Не оплачено"),F409,"")</f>
      </c>
      <c r="N409" s="13">
        <f>IF(AND(G409="Терминал",H409="Оплачено"),F409,"")</f>
      </c>
      <c r="O409" s="14">
        <f>IF(AND(G409="Терминал",H409="Не оплачено"),F409,"")</f>
      </c>
      <c r="P409" s="13">
        <f>IF(AND(G409="Перечисление",H409="Оплачено"),F409,"")</f>
      </c>
      <c r="Q409" s="14">
        <f>IF(AND(G409="Перечисление",H409="Не оплачено"),F409,"")</f>
      </c>
    </row>
    <row r="410">
      <c r="A410" s="9">
        <v>407</v>
      </c>
      <c r="B410" s="7"/>
      <c r="C410" s="6"/>
      <c r="D410" s="8"/>
      <c r="E410" s="8"/>
      <c r="F410" s="4"/>
      <c r="G410" s="8"/>
      <c r="H410" s="8"/>
      <c r="I410" s="8"/>
      <c r="J410" s="13">
        <f>IF(AND(G410="Карта",H410="Оплачено"),F410,"")</f>
      </c>
      <c r="K410" s="14">
        <f>IF(AND(G410="Карта",H410="Не оплачено"),F410,"")</f>
      </c>
      <c r="L410" s="13">
        <f>IF(AND(G410="Наличные",H410="Оплачено"),F410,"")</f>
      </c>
      <c r="M410" s="14">
        <f>IF(AND(G410="Наличные",H410="Не оплачено"),F410,"")</f>
      </c>
      <c r="N410" s="13">
        <f>IF(AND(G410="Терминал",H410="Оплачено"),F410,"")</f>
      </c>
      <c r="O410" s="14">
        <f>IF(AND(G410="Терминал",H410="Не оплачено"),F410,"")</f>
      </c>
      <c r="P410" s="13">
        <f>IF(AND(G410="Перечисление",H410="Оплачено"),F410,"")</f>
      </c>
      <c r="Q410" s="14">
        <f>IF(AND(G410="Перечисление",H410="Не оплачено"),F410,"")</f>
      </c>
    </row>
    <row r="411">
      <c r="A411" s="9">
        <v>408</v>
      </c>
      <c r="B411" s="7"/>
      <c r="C411" s="6"/>
      <c r="D411" s="8"/>
      <c r="E411" s="8"/>
      <c r="F411" s="4"/>
      <c r="G411" s="8"/>
      <c r="H411" s="8"/>
      <c r="I411" s="8"/>
      <c r="J411" s="13">
        <f>IF(AND(G411="Карта",H411="Оплачено"),F411,"")</f>
      </c>
      <c r="K411" s="14">
        <f>IF(AND(G411="Карта",H411="Не оплачено"),F411,"")</f>
      </c>
      <c r="L411" s="13">
        <f>IF(AND(G411="Наличные",H411="Оплачено"),F411,"")</f>
      </c>
      <c r="M411" s="14">
        <f>IF(AND(G411="Наличные",H411="Не оплачено"),F411,"")</f>
      </c>
      <c r="N411" s="13">
        <f>IF(AND(G411="Терминал",H411="Оплачено"),F411,"")</f>
      </c>
      <c r="O411" s="14">
        <f>IF(AND(G411="Терминал",H411="Не оплачено"),F411,"")</f>
      </c>
      <c r="P411" s="13">
        <f>IF(AND(G411="Перечисление",H411="Оплачено"),F411,"")</f>
      </c>
      <c r="Q411" s="14">
        <f>IF(AND(G411="Перечисление",H411="Не оплачено"),F411,"")</f>
      </c>
    </row>
    <row r="412">
      <c r="A412" s="9">
        <v>409</v>
      </c>
      <c r="B412" s="7"/>
      <c r="C412" s="6"/>
      <c r="D412" s="8"/>
      <c r="E412" s="8"/>
      <c r="F412" s="4"/>
      <c r="G412" s="8"/>
      <c r="H412" s="8"/>
      <c r="I412" s="8"/>
      <c r="J412" s="13">
        <f>IF(AND(G412="Карта",H412="Оплачено"),F412,"")</f>
      </c>
      <c r="K412" s="14">
        <f>IF(AND(G412="Карта",H412="Не оплачено"),F412,"")</f>
      </c>
      <c r="L412" s="13">
        <f>IF(AND(G412="Наличные",H412="Оплачено"),F412,"")</f>
      </c>
      <c r="M412" s="14">
        <f>IF(AND(G412="Наличные",H412="Не оплачено"),F412,"")</f>
      </c>
      <c r="N412" s="13">
        <f>IF(AND(G412="Терминал",H412="Оплачено"),F412,"")</f>
      </c>
      <c r="O412" s="14">
        <f>IF(AND(G412="Терминал",H412="Не оплачено"),F412,"")</f>
      </c>
      <c r="P412" s="13">
        <f>IF(AND(G412="Перечисление",H412="Оплачено"),F412,"")</f>
      </c>
      <c r="Q412" s="14">
        <f>IF(AND(G412="Перечисление",H412="Не оплачено"),F412,"")</f>
      </c>
    </row>
    <row r="413">
      <c r="A413" s="9">
        <v>410</v>
      </c>
      <c r="B413" s="7"/>
      <c r="C413" s="6"/>
      <c r="D413" s="8"/>
      <c r="E413" s="8"/>
      <c r="F413" s="4"/>
      <c r="G413" s="8"/>
      <c r="H413" s="8"/>
      <c r="I413" s="8"/>
      <c r="J413" s="13">
        <f>IF(AND(G413="Карта",H413="Оплачено"),F413,"")</f>
      </c>
      <c r="K413" s="14">
        <f>IF(AND(G413="Карта",H413="Не оплачено"),F413,"")</f>
      </c>
      <c r="L413" s="13">
        <f>IF(AND(G413="Наличные",H413="Оплачено"),F413,"")</f>
      </c>
      <c r="M413" s="14">
        <f>IF(AND(G413="Наличные",H413="Не оплачено"),F413,"")</f>
      </c>
      <c r="N413" s="13">
        <f>IF(AND(G413="Терминал",H413="Оплачено"),F413,"")</f>
      </c>
      <c r="O413" s="14">
        <f>IF(AND(G413="Терминал",H413="Не оплачено"),F413,"")</f>
      </c>
      <c r="P413" s="13">
        <f>IF(AND(G413="Перечисление",H413="Оплачено"),F413,"")</f>
      </c>
      <c r="Q413" s="14">
        <f>IF(AND(G413="Перечисление",H413="Не оплачено"),F413,"")</f>
      </c>
    </row>
    <row r="414">
      <c r="A414" s="9">
        <v>411</v>
      </c>
      <c r="B414" s="7"/>
      <c r="C414" s="6"/>
      <c r="D414" s="8"/>
      <c r="E414" s="8"/>
      <c r="F414" s="4"/>
      <c r="G414" s="8"/>
      <c r="H414" s="8"/>
      <c r="I414" s="8"/>
      <c r="J414" s="13">
        <f>IF(AND(G414="Карта",H414="Оплачено"),F414,"")</f>
      </c>
      <c r="K414" s="14">
        <f>IF(AND(G414="Карта",H414="Не оплачено"),F414,"")</f>
      </c>
      <c r="L414" s="13">
        <f>IF(AND(G414="Наличные",H414="Оплачено"),F414,"")</f>
      </c>
      <c r="M414" s="14">
        <f>IF(AND(G414="Наличные",H414="Не оплачено"),F414,"")</f>
      </c>
      <c r="N414" s="13">
        <f>IF(AND(G414="Терминал",H414="Оплачено"),F414,"")</f>
      </c>
      <c r="O414" s="14">
        <f>IF(AND(G414="Терминал",H414="Не оплачено"),F414,"")</f>
      </c>
      <c r="P414" s="13">
        <f>IF(AND(G414="Перечисление",H414="Оплачено"),F414,"")</f>
      </c>
      <c r="Q414" s="14">
        <f>IF(AND(G414="Перечисление",H414="Не оплачено"),F414,"")</f>
      </c>
    </row>
    <row r="415">
      <c r="A415" s="9">
        <v>412</v>
      </c>
      <c r="B415" s="7"/>
      <c r="C415" s="6"/>
      <c r="D415" s="8"/>
      <c r="E415" s="8"/>
      <c r="F415" s="4"/>
      <c r="G415" s="8"/>
      <c r="H415" s="8"/>
      <c r="I415" s="8"/>
      <c r="J415" s="13">
        <f>IF(AND(G415="Карта",H415="Оплачено"),F415,"")</f>
      </c>
      <c r="K415" s="14">
        <f>IF(AND(G415="Карта",H415="Не оплачено"),F415,"")</f>
      </c>
      <c r="L415" s="13">
        <f>IF(AND(G415="Наличные",H415="Оплачено"),F415,"")</f>
      </c>
      <c r="M415" s="14">
        <f>IF(AND(G415="Наличные",H415="Не оплачено"),F415,"")</f>
      </c>
      <c r="N415" s="13">
        <f>IF(AND(G415="Терминал",H415="Оплачено"),F415,"")</f>
      </c>
      <c r="O415" s="14">
        <f>IF(AND(G415="Терминал",H415="Не оплачено"),F415,"")</f>
      </c>
      <c r="P415" s="13">
        <f>IF(AND(G415="Перечисление",H415="Оплачено"),F415,"")</f>
      </c>
      <c r="Q415" s="14">
        <f>IF(AND(G415="Перечисление",H415="Не оплачено"),F415,"")</f>
      </c>
    </row>
    <row r="416">
      <c r="A416" s="9">
        <v>413</v>
      </c>
      <c r="B416" s="7"/>
      <c r="C416" s="6"/>
      <c r="D416" s="8"/>
      <c r="E416" s="8"/>
      <c r="F416" s="4"/>
      <c r="G416" s="8"/>
      <c r="H416" s="8"/>
      <c r="I416" s="8"/>
      <c r="J416" s="13">
        <f>IF(AND(G416="Карта",H416="Оплачено"),F416,"")</f>
      </c>
      <c r="K416" s="14">
        <f>IF(AND(G416="Карта",H416="Не оплачено"),F416,"")</f>
      </c>
      <c r="L416" s="13">
        <f>IF(AND(G416="Наличные",H416="Оплачено"),F416,"")</f>
      </c>
      <c r="M416" s="14">
        <f>IF(AND(G416="Наличные",H416="Не оплачено"),F416,"")</f>
      </c>
      <c r="N416" s="13">
        <f>IF(AND(G416="Терминал",H416="Оплачено"),F416,"")</f>
      </c>
      <c r="O416" s="14">
        <f>IF(AND(G416="Терминал",H416="Не оплачено"),F416,"")</f>
      </c>
      <c r="P416" s="13">
        <f>IF(AND(G416="Перечисление",H416="Оплачено"),F416,"")</f>
      </c>
      <c r="Q416" s="14">
        <f>IF(AND(G416="Перечисление",H416="Не оплачено"),F416,"")</f>
      </c>
    </row>
    <row r="417">
      <c r="A417" s="9">
        <v>414</v>
      </c>
      <c r="B417" s="7"/>
      <c r="C417" s="6"/>
      <c r="D417" s="8"/>
      <c r="E417" s="8"/>
      <c r="F417" s="4"/>
      <c r="G417" s="8"/>
      <c r="H417" s="8"/>
      <c r="I417" s="8"/>
      <c r="J417" s="13">
        <f>IF(AND(G417="Карта",H417="Оплачено"),F417,"")</f>
      </c>
      <c r="K417" s="14">
        <f>IF(AND(G417="Карта",H417="Не оплачено"),F417,"")</f>
      </c>
      <c r="L417" s="13">
        <f>IF(AND(G417="Наличные",H417="Оплачено"),F417,"")</f>
      </c>
      <c r="M417" s="14">
        <f>IF(AND(G417="Наличные",H417="Не оплачено"),F417,"")</f>
      </c>
      <c r="N417" s="13">
        <f>IF(AND(G417="Терминал",H417="Оплачено"),F417,"")</f>
      </c>
      <c r="O417" s="14">
        <f>IF(AND(G417="Терминал",H417="Не оплачено"),F417,"")</f>
      </c>
      <c r="P417" s="13">
        <f>IF(AND(G417="Перечисление",H417="Оплачено"),F417,"")</f>
      </c>
      <c r="Q417" s="14">
        <f>IF(AND(G417="Перечисление",H417="Не оплачено"),F417,"")</f>
      </c>
    </row>
    <row r="418">
      <c r="A418" s="9">
        <v>415</v>
      </c>
      <c r="B418" s="7"/>
      <c r="C418" s="6"/>
      <c r="D418" s="8"/>
      <c r="E418" s="8"/>
      <c r="F418" s="4"/>
      <c r="G418" s="8"/>
      <c r="H418" s="8"/>
      <c r="I418" s="8"/>
      <c r="J418" s="13">
        <f>IF(AND(G418="Карта",H418="Оплачено"),F418,"")</f>
      </c>
      <c r="K418" s="14">
        <f>IF(AND(G418="Карта",H418="Не оплачено"),F418,"")</f>
      </c>
      <c r="L418" s="13">
        <f>IF(AND(G418="Наличные",H418="Оплачено"),F418,"")</f>
      </c>
      <c r="M418" s="14">
        <f>IF(AND(G418="Наличные",H418="Не оплачено"),F418,"")</f>
      </c>
      <c r="N418" s="13">
        <f>IF(AND(G418="Терминал",H418="Оплачено"),F418,"")</f>
      </c>
      <c r="O418" s="14">
        <f>IF(AND(G418="Терминал",H418="Не оплачено"),F418,"")</f>
      </c>
      <c r="P418" s="13">
        <f>IF(AND(G418="Перечисление",H418="Оплачено"),F418,"")</f>
      </c>
      <c r="Q418" s="14">
        <f>IF(AND(G418="Перечисление",H418="Не оплачено"),F418,"")</f>
      </c>
    </row>
    <row r="419">
      <c r="A419" s="9">
        <v>416</v>
      </c>
      <c r="B419" s="7"/>
      <c r="C419" s="6"/>
      <c r="D419" s="8"/>
      <c r="E419" s="8"/>
      <c r="F419" s="4"/>
      <c r="G419" s="8"/>
      <c r="H419" s="8"/>
      <c r="I419" s="8"/>
      <c r="J419" s="13">
        <f>IF(AND(G419="Карта",H419="Оплачено"),F419,"")</f>
      </c>
      <c r="K419" s="14">
        <f>IF(AND(G419="Карта",H419="Не оплачено"),F419,"")</f>
      </c>
      <c r="L419" s="13">
        <f>IF(AND(G419="Наличные",H419="Оплачено"),F419,"")</f>
      </c>
      <c r="M419" s="14">
        <f>IF(AND(G419="Наличные",H419="Не оплачено"),F419,"")</f>
      </c>
      <c r="N419" s="13">
        <f>IF(AND(G419="Терминал",H419="Оплачено"),F419,"")</f>
      </c>
      <c r="O419" s="14">
        <f>IF(AND(G419="Терминал",H419="Не оплачено"),F419,"")</f>
      </c>
      <c r="P419" s="13">
        <f>IF(AND(G419="Перечисление",H419="Оплачено"),F419,"")</f>
      </c>
      <c r="Q419" s="14">
        <f>IF(AND(G419="Перечисление",H419="Не оплачено"),F419,"")</f>
      </c>
    </row>
    <row r="420">
      <c r="A420" s="9">
        <v>417</v>
      </c>
      <c r="B420" s="7"/>
      <c r="C420" s="6"/>
      <c r="D420" s="8"/>
      <c r="E420" s="8"/>
      <c r="F420" s="4"/>
      <c r="G420" s="8"/>
      <c r="H420" s="8"/>
      <c r="I420" s="8"/>
      <c r="J420" s="13">
        <f>IF(AND(G420="Карта",H420="Оплачено"),F420,"")</f>
      </c>
      <c r="K420" s="14">
        <f>IF(AND(G420="Карта",H420="Не оплачено"),F420,"")</f>
      </c>
      <c r="L420" s="13">
        <f>IF(AND(G420="Наличные",H420="Оплачено"),F420,"")</f>
      </c>
      <c r="M420" s="14">
        <f>IF(AND(G420="Наличные",H420="Не оплачено"),F420,"")</f>
      </c>
      <c r="N420" s="13">
        <f>IF(AND(G420="Терминал",H420="Оплачено"),F420,"")</f>
      </c>
      <c r="O420" s="14">
        <f>IF(AND(G420="Терминал",H420="Не оплачено"),F420,"")</f>
      </c>
      <c r="P420" s="13">
        <f>IF(AND(G420="Перечисление",H420="Оплачено"),F420,"")</f>
      </c>
      <c r="Q420" s="14">
        <f>IF(AND(G420="Перечисление",H420="Не оплачено"),F420,"")</f>
      </c>
    </row>
    <row r="421">
      <c r="A421" s="9">
        <v>418</v>
      </c>
      <c r="B421" s="7"/>
      <c r="C421" s="6"/>
      <c r="D421" s="8"/>
      <c r="E421" s="8"/>
      <c r="F421" s="4"/>
      <c r="G421" s="8"/>
      <c r="H421" s="8"/>
      <c r="I421" s="8"/>
      <c r="J421" s="13">
        <f>IF(AND(G421="Карта",H421="Оплачено"),F421,"")</f>
      </c>
      <c r="K421" s="14">
        <f>IF(AND(G421="Карта",H421="Не оплачено"),F421,"")</f>
      </c>
      <c r="L421" s="13">
        <f>IF(AND(G421="Наличные",H421="Оплачено"),F421,"")</f>
      </c>
      <c r="M421" s="14">
        <f>IF(AND(G421="Наличные",H421="Не оплачено"),F421,"")</f>
      </c>
      <c r="N421" s="13">
        <f>IF(AND(G421="Терминал",H421="Оплачено"),F421,"")</f>
      </c>
      <c r="O421" s="14">
        <f>IF(AND(G421="Терминал",H421="Не оплачено"),F421,"")</f>
      </c>
      <c r="P421" s="13">
        <f>IF(AND(G421="Перечисление",H421="Оплачено"),F421,"")</f>
      </c>
      <c r="Q421" s="14">
        <f>IF(AND(G421="Перечисление",H421="Не оплачено"),F421,"")</f>
      </c>
    </row>
    <row r="422">
      <c r="A422" s="9">
        <v>419</v>
      </c>
      <c r="B422" s="7"/>
      <c r="C422" s="6"/>
      <c r="D422" s="8"/>
      <c r="E422" s="8"/>
      <c r="F422" s="4"/>
      <c r="G422" s="8"/>
      <c r="H422" s="8"/>
      <c r="I422" s="8"/>
      <c r="J422" s="13">
        <f>IF(AND(G422="Карта",H422="Оплачено"),F422,"")</f>
      </c>
      <c r="K422" s="14">
        <f>IF(AND(G422="Карта",H422="Не оплачено"),F422,"")</f>
      </c>
      <c r="L422" s="13">
        <f>IF(AND(G422="Наличные",H422="Оплачено"),F422,"")</f>
      </c>
      <c r="M422" s="14">
        <f>IF(AND(G422="Наличные",H422="Не оплачено"),F422,"")</f>
      </c>
      <c r="N422" s="13">
        <f>IF(AND(G422="Терминал",H422="Оплачено"),F422,"")</f>
      </c>
      <c r="O422" s="14">
        <f>IF(AND(G422="Терминал",H422="Не оплачено"),F422,"")</f>
      </c>
      <c r="P422" s="13">
        <f>IF(AND(G422="Перечисление",H422="Оплачено"),F422,"")</f>
      </c>
      <c r="Q422" s="14">
        <f>IF(AND(G422="Перечисление",H422="Не оплачено"),F422,"")</f>
      </c>
    </row>
    <row r="423">
      <c r="A423" s="9">
        <v>420</v>
      </c>
      <c r="B423" s="7"/>
      <c r="C423" s="6"/>
      <c r="D423" s="8"/>
      <c r="E423" s="8"/>
      <c r="F423" s="4"/>
      <c r="G423" s="8"/>
      <c r="H423" s="8"/>
      <c r="I423" s="8"/>
      <c r="J423" s="13">
        <f>IF(AND(G423="Карта",H423="Оплачено"),F423,"")</f>
      </c>
      <c r="K423" s="14">
        <f>IF(AND(G423="Карта",H423="Не оплачено"),F423,"")</f>
      </c>
      <c r="L423" s="13">
        <f>IF(AND(G423="Наличные",H423="Оплачено"),F423,"")</f>
      </c>
      <c r="M423" s="14">
        <f>IF(AND(G423="Наличные",H423="Не оплачено"),F423,"")</f>
      </c>
      <c r="N423" s="13">
        <f>IF(AND(G423="Терминал",H423="Оплачено"),F423,"")</f>
      </c>
      <c r="O423" s="14">
        <f>IF(AND(G423="Терминал",H423="Не оплачено"),F423,"")</f>
      </c>
      <c r="P423" s="13">
        <f>IF(AND(G423="Перечисление",H423="Оплачено"),F423,"")</f>
      </c>
      <c r="Q423" s="14">
        <f>IF(AND(G423="Перечисление",H423="Не оплачено"),F423,"")</f>
      </c>
    </row>
    <row r="424">
      <c r="A424" s="9">
        <v>421</v>
      </c>
      <c r="B424" s="7"/>
      <c r="C424" s="6"/>
      <c r="D424" s="8"/>
      <c r="E424" s="8"/>
      <c r="F424" s="4"/>
      <c r="G424" s="8"/>
      <c r="H424" s="8"/>
      <c r="I424" s="8"/>
      <c r="J424" s="13">
        <f>IF(AND(G424="Карта",H424="Оплачено"),F424,"")</f>
      </c>
      <c r="K424" s="14">
        <f>IF(AND(G424="Карта",H424="Не оплачено"),F424,"")</f>
      </c>
      <c r="L424" s="13">
        <f>IF(AND(G424="Наличные",H424="Оплачено"),F424,"")</f>
      </c>
      <c r="M424" s="14">
        <f>IF(AND(G424="Наличные",H424="Не оплачено"),F424,"")</f>
      </c>
      <c r="N424" s="13">
        <f>IF(AND(G424="Терминал",H424="Оплачено"),F424,"")</f>
      </c>
      <c r="O424" s="14">
        <f>IF(AND(G424="Терминал",H424="Не оплачено"),F424,"")</f>
      </c>
      <c r="P424" s="13">
        <f>IF(AND(G424="Перечисление",H424="Оплачено"),F424,"")</f>
      </c>
      <c r="Q424" s="14">
        <f>IF(AND(G424="Перечисление",H424="Не оплачено"),F424,"")</f>
      </c>
    </row>
    <row r="425">
      <c r="A425" s="9">
        <v>422</v>
      </c>
      <c r="B425" s="7"/>
      <c r="C425" s="6"/>
      <c r="D425" s="8"/>
      <c r="E425" s="8"/>
      <c r="F425" s="4"/>
      <c r="G425" s="8"/>
      <c r="H425" s="8"/>
      <c r="I425" s="8"/>
      <c r="J425" s="13">
        <f>IF(AND(G425="Карта",H425="Оплачено"),F425,"")</f>
      </c>
      <c r="K425" s="14">
        <f>IF(AND(G425="Карта",H425="Не оплачено"),F425,"")</f>
      </c>
      <c r="L425" s="13">
        <f>IF(AND(G425="Наличные",H425="Оплачено"),F425,"")</f>
      </c>
      <c r="M425" s="14">
        <f>IF(AND(G425="Наличные",H425="Не оплачено"),F425,"")</f>
      </c>
      <c r="N425" s="13">
        <f>IF(AND(G425="Терминал",H425="Оплачено"),F425,"")</f>
      </c>
      <c r="O425" s="14">
        <f>IF(AND(G425="Терминал",H425="Не оплачено"),F425,"")</f>
      </c>
      <c r="P425" s="13">
        <f>IF(AND(G425="Перечисление",H425="Оплачено"),F425,"")</f>
      </c>
      <c r="Q425" s="14">
        <f>IF(AND(G425="Перечисление",H425="Не оплачено"),F425,"")</f>
      </c>
    </row>
    <row r="426">
      <c r="A426" s="9">
        <v>423</v>
      </c>
      <c r="B426" s="7"/>
      <c r="C426" s="6"/>
      <c r="D426" s="8"/>
      <c r="E426" s="8"/>
      <c r="F426" s="4"/>
      <c r="G426" s="8"/>
      <c r="H426" s="8"/>
      <c r="I426" s="8"/>
      <c r="J426" s="13">
        <f>IF(AND(G426="Карта",H426="Оплачено"),F426,"")</f>
      </c>
      <c r="K426" s="14">
        <f>IF(AND(G426="Карта",H426="Не оплачено"),F426,"")</f>
      </c>
      <c r="L426" s="13">
        <f>IF(AND(G426="Наличные",H426="Оплачено"),F426,"")</f>
      </c>
      <c r="M426" s="14">
        <f>IF(AND(G426="Наличные",H426="Не оплачено"),F426,"")</f>
      </c>
      <c r="N426" s="13">
        <f>IF(AND(G426="Терминал",H426="Оплачено"),F426,"")</f>
      </c>
      <c r="O426" s="14">
        <f>IF(AND(G426="Терминал",H426="Не оплачено"),F426,"")</f>
      </c>
      <c r="P426" s="13">
        <f>IF(AND(G426="Перечисление",H426="Оплачено"),F426,"")</f>
      </c>
      <c r="Q426" s="14">
        <f>IF(AND(G426="Перечисление",H426="Не оплачено"),F426,"")</f>
      </c>
    </row>
    <row r="427">
      <c r="A427" s="9">
        <v>424</v>
      </c>
      <c r="B427" s="7"/>
      <c r="C427" s="6"/>
      <c r="D427" s="8"/>
      <c r="E427" s="8"/>
      <c r="F427" s="4"/>
      <c r="G427" s="8"/>
      <c r="H427" s="8"/>
      <c r="I427" s="8"/>
      <c r="J427" s="13">
        <f>IF(AND(G427="Карта",H427="Оплачено"),F427,"")</f>
      </c>
      <c r="K427" s="14">
        <f>IF(AND(G427="Карта",H427="Не оплачено"),F427,"")</f>
      </c>
      <c r="L427" s="13">
        <f>IF(AND(G427="Наличные",H427="Оплачено"),F427,"")</f>
      </c>
      <c r="M427" s="14">
        <f>IF(AND(G427="Наличные",H427="Не оплачено"),F427,"")</f>
      </c>
      <c r="N427" s="13">
        <f>IF(AND(G427="Терминал",H427="Оплачено"),F427,"")</f>
      </c>
      <c r="O427" s="14">
        <f>IF(AND(G427="Терминал",H427="Не оплачено"),F427,"")</f>
      </c>
      <c r="P427" s="13">
        <f>IF(AND(G427="Перечисление",H427="Оплачено"),F427,"")</f>
      </c>
      <c r="Q427" s="14">
        <f>IF(AND(G427="Перечисление",H427="Не оплачено"),F427,"")</f>
      </c>
    </row>
    <row r="428">
      <c r="A428" s="9">
        <v>425</v>
      </c>
      <c r="B428" s="7"/>
      <c r="C428" s="6"/>
      <c r="D428" s="8"/>
      <c r="E428" s="8"/>
      <c r="F428" s="4"/>
      <c r="G428" s="8"/>
      <c r="H428" s="8"/>
      <c r="I428" s="8"/>
      <c r="J428" s="13">
        <f>IF(AND(G428="Карта",H428="Оплачено"),F428,"")</f>
      </c>
      <c r="K428" s="14">
        <f>IF(AND(G428="Карта",H428="Не оплачено"),F428,"")</f>
      </c>
      <c r="L428" s="13">
        <f>IF(AND(G428="Наличные",H428="Оплачено"),F428,"")</f>
      </c>
      <c r="M428" s="14">
        <f>IF(AND(G428="Наличные",H428="Не оплачено"),F428,"")</f>
      </c>
      <c r="N428" s="13">
        <f>IF(AND(G428="Терминал",H428="Оплачено"),F428,"")</f>
      </c>
      <c r="O428" s="14">
        <f>IF(AND(G428="Терминал",H428="Не оплачено"),F428,"")</f>
      </c>
      <c r="P428" s="13">
        <f>IF(AND(G428="Перечисление",H428="Оплачено"),F428,"")</f>
      </c>
      <c r="Q428" s="14">
        <f>IF(AND(G428="Перечисление",H428="Не оплачено"),F428,"")</f>
      </c>
    </row>
    <row r="429">
      <c r="A429" s="9">
        <v>426</v>
      </c>
      <c r="B429" s="7"/>
      <c r="C429" s="6"/>
      <c r="D429" s="8"/>
      <c r="E429" s="8"/>
      <c r="F429" s="4"/>
      <c r="G429" s="8"/>
      <c r="H429" s="8"/>
      <c r="I429" s="8"/>
      <c r="J429" s="13">
        <f>IF(AND(G429="Карта",H429="Оплачено"),F429,"")</f>
      </c>
      <c r="K429" s="14">
        <f>IF(AND(G429="Карта",H429="Не оплачено"),F429,"")</f>
      </c>
      <c r="L429" s="13">
        <f>IF(AND(G429="Наличные",H429="Оплачено"),F429,"")</f>
      </c>
      <c r="M429" s="14">
        <f>IF(AND(G429="Наличные",H429="Не оплачено"),F429,"")</f>
      </c>
      <c r="N429" s="13">
        <f>IF(AND(G429="Терминал",H429="Оплачено"),F429,"")</f>
      </c>
      <c r="O429" s="14">
        <f>IF(AND(G429="Терминал",H429="Не оплачено"),F429,"")</f>
      </c>
      <c r="P429" s="13">
        <f>IF(AND(G429="Перечисление",H429="Оплачено"),F429,"")</f>
      </c>
      <c r="Q429" s="14">
        <f>IF(AND(G429="Перечисление",H429="Не оплачено"),F429,"")</f>
      </c>
    </row>
    <row r="430">
      <c r="A430" s="9">
        <v>427</v>
      </c>
      <c r="B430" s="7"/>
      <c r="C430" s="6"/>
      <c r="D430" s="8"/>
      <c r="E430" s="8"/>
      <c r="F430" s="4"/>
      <c r="G430" s="8"/>
      <c r="H430" s="8"/>
      <c r="I430" s="8"/>
      <c r="J430" s="13">
        <f>IF(AND(G430="Карта",H430="Оплачено"),F430,"")</f>
      </c>
      <c r="K430" s="14">
        <f>IF(AND(G430="Карта",H430="Не оплачено"),F430,"")</f>
      </c>
      <c r="L430" s="13">
        <f>IF(AND(G430="Наличные",H430="Оплачено"),F430,"")</f>
      </c>
      <c r="M430" s="14">
        <f>IF(AND(G430="Наличные",H430="Не оплачено"),F430,"")</f>
      </c>
      <c r="N430" s="13">
        <f>IF(AND(G430="Терминал",H430="Оплачено"),F430,"")</f>
      </c>
      <c r="O430" s="14">
        <f>IF(AND(G430="Терминал",H430="Не оплачено"),F430,"")</f>
      </c>
      <c r="P430" s="13">
        <f>IF(AND(G430="Перечисление",H430="Оплачено"),F430,"")</f>
      </c>
      <c r="Q430" s="14">
        <f>IF(AND(G430="Перечисление",H430="Не оплачено"),F430,"")</f>
      </c>
    </row>
    <row r="431">
      <c r="A431" s="9">
        <v>428</v>
      </c>
      <c r="B431" s="7"/>
      <c r="C431" s="6"/>
      <c r="D431" s="8"/>
      <c r="E431" s="8"/>
      <c r="F431" s="4"/>
      <c r="G431" s="8"/>
      <c r="H431" s="8"/>
      <c r="I431" s="8"/>
      <c r="J431" s="13">
        <f>IF(AND(G431="Карта",H431="Оплачено"),F431,"")</f>
      </c>
      <c r="K431" s="14">
        <f>IF(AND(G431="Карта",H431="Не оплачено"),F431,"")</f>
      </c>
      <c r="L431" s="13">
        <f>IF(AND(G431="Наличные",H431="Оплачено"),F431,"")</f>
      </c>
      <c r="M431" s="14">
        <f>IF(AND(G431="Наличные",H431="Не оплачено"),F431,"")</f>
      </c>
      <c r="N431" s="13">
        <f>IF(AND(G431="Терминал",H431="Оплачено"),F431,"")</f>
      </c>
      <c r="O431" s="14">
        <f>IF(AND(G431="Терминал",H431="Не оплачено"),F431,"")</f>
      </c>
      <c r="P431" s="13">
        <f>IF(AND(G431="Перечисление",H431="Оплачено"),F431,"")</f>
      </c>
      <c r="Q431" s="14">
        <f>IF(AND(G431="Перечисление",H431="Не оплачено"),F431,"")</f>
      </c>
    </row>
    <row r="432">
      <c r="A432" s="9">
        <v>429</v>
      </c>
      <c r="B432" s="7"/>
      <c r="C432" s="6"/>
      <c r="D432" s="8"/>
      <c r="E432" s="8"/>
      <c r="F432" s="4"/>
      <c r="G432" s="8"/>
      <c r="H432" s="8"/>
      <c r="I432" s="8"/>
      <c r="J432" s="13">
        <f>IF(AND(G432="Карта",H432="Оплачено"),F432,"")</f>
      </c>
      <c r="K432" s="14">
        <f>IF(AND(G432="Карта",H432="Не оплачено"),F432,"")</f>
      </c>
      <c r="L432" s="13">
        <f>IF(AND(G432="Наличные",H432="Оплачено"),F432,"")</f>
      </c>
      <c r="M432" s="14">
        <f>IF(AND(G432="Наличные",H432="Не оплачено"),F432,"")</f>
      </c>
      <c r="N432" s="13">
        <f>IF(AND(G432="Терминал",H432="Оплачено"),F432,"")</f>
      </c>
      <c r="O432" s="14">
        <f>IF(AND(G432="Терминал",H432="Не оплачено"),F432,"")</f>
      </c>
      <c r="P432" s="13">
        <f>IF(AND(G432="Перечисление",H432="Оплачено"),F432,"")</f>
      </c>
      <c r="Q432" s="14">
        <f>IF(AND(G432="Перечисление",H432="Не оплачено"),F432,"")</f>
      </c>
    </row>
    <row r="433">
      <c r="A433" s="9">
        <v>430</v>
      </c>
      <c r="B433" s="7"/>
      <c r="C433" s="6"/>
      <c r="D433" s="8"/>
      <c r="E433" s="8"/>
      <c r="F433" s="4"/>
      <c r="G433" s="8"/>
      <c r="H433" s="8"/>
      <c r="I433" s="8"/>
      <c r="J433" s="13">
        <f>IF(AND(G433="Карта",H433="Оплачено"),F433,"")</f>
      </c>
      <c r="K433" s="14">
        <f>IF(AND(G433="Карта",H433="Не оплачено"),F433,"")</f>
      </c>
      <c r="L433" s="13">
        <f>IF(AND(G433="Наличные",H433="Оплачено"),F433,"")</f>
      </c>
      <c r="M433" s="14">
        <f>IF(AND(G433="Наличные",H433="Не оплачено"),F433,"")</f>
      </c>
      <c r="N433" s="13">
        <f>IF(AND(G433="Терминал",H433="Оплачено"),F433,"")</f>
      </c>
      <c r="O433" s="14">
        <f>IF(AND(G433="Терминал",H433="Не оплачено"),F433,"")</f>
      </c>
      <c r="P433" s="13">
        <f>IF(AND(G433="Перечисление",H433="Оплачено"),F433,"")</f>
      </c>
      <c r="Q433" s="14">
        <f>IF(AND(G433="Перечисление",H433="Не оплачено"),F433,"")</f>
      </c>
    </row>
    <row r="434">
      <c r="A434" s="9">
        <v>431</v>
      </c>
      <c r="B434" s="7"/>
      <c r="C434" s="6"/>
      <c r="D434" s="8"/>
      <c r="E434" s="8"/>
      <c r="F434" s="4"/>
      <c r="G434" s="8"/>
      <c r="H434" s="8"/>
      <c r="I434" s="8"/>
      <c r="J434" s="13">
        <f>IF(AND(G434="Карта",H434="Оплачено"),F434,"")</f>
      </c>
      <c r="K434" s="14">
        <f>IF(AND(G434="Карта",H434="Не оплачено"),F434,"")</f>
      </c>
      <c r="L434" s="13">
        <f>IF(AND(G434="Наличные",H434="Оплачено"),F434,"")</f>
      </c>
      <c r="M434" s="14">
        <f>IF(AND(G434="Наличные",H434="Не оплачено"),F434,"")</f>
      </c>
      <c r="N434" s="13">
        <f>IF(AND(G434="Терминал",H434="Оплачено"),F434,"")</f>
      </c>
      <c r="O434" s="14">
        <f>IF(AND(G434="Терминал",H434="Не оплачено"),F434,"")</f>
      </c>
      <c r="P434" s="13">
        <f>IF(AND(G434="Перечисление",H434="Оплачено"),F434,"")</f>
      </c>
      <c r="Q434" s="14">
        <f>IF(AND(G434="Перечисление",H434="Не оплачено"),F434,"")</f>
      </c>
    </row>
    <row r="435">
      <c r="A435" s="9">
        <v>432</v>
      </c>
      <c r="B435" s="7"/>
      <c r="C435" s="6"/>
      <c r="D435" s="8"/>
      <c r="E435" s="8"/>
      <c r="F435" s="4"/>
      <c r="G435" s="8"/>
      <c r="H435" s="8"/>
      <c r="I435" s="8"/>
      <c r="J435" s="13">
        <f>IF(AND(G435="Карта",H435="Оплачено"),F435,"")</f>
      </c>
      <c r="K435" s="14">
        <f>IF(AND(G435="Карта",H435="Не оплачено"),F435,"")</f>
      </c>
      <c r="L435" s="13">
        <f>IF(AND(G435="Наличные",H435="Оплачено"),F435,"")</f>
      </c>
      <c r="M435" s="14">
        <f>IF(AND(G435="Наличные",H435="Не оплачено"),F435,"")</f>
      </c>
      <c r="N435" s="13">
        <f>IF(AND(G435="Терминал",H435="Оплачено"),F435,"")</f>
      </c>
      <c r="O435" s="14">
        <f>IF(AND(G435="Терминал",H435="Не оплачено"),F435,"")</f>
      </c>
      <c r="P435" s="13">
        <f>IF(AND(G435="Перечисление",H435="Оплачено"),F435,"")</f>
      </c>
      <c r="Q435" s="14">
        <f>IF(AND(G435="Перечисление",H435="Не оплачено"),F435,"")</f>
      </c>
    </row>
    <row r="436">
      <c r="A436" s="9">
        <v>433</v>
      </c>
      <c r="B436" s="7"/>
      <c r="C436" s="6"/>
      <c r="D436" s="8"/>
      <c r="E436" s="8"/>
      <c r="F436" s="4"/>
      <c r="G436" s="8"/>
      <c r="H436" s="8"/>
      <c r="I436" s="8"/>
      <c r="J436" s="13">
        <f>IF(AND(G436="Карта",H436="Оплачено"),F436,"")</f>
      </c>
      <c r="K436" s="14">
        <f>IF(AND(G436="Карта",H436="Не оплачено"),F436,"")</f>
      </c>
      <c r="L436" s="13">
        <f>IF(AND(G436="Наличные",H436="Оплачено"),F436,"")</f>
      </c>
      <c r="M436" s="14">
        <f>IF(AND(G436="Наличные",H436="Не оплачено"),F436,"")</f>
      </c>
      <c r="N436" s="13">
        <f>IF(AND(G436="Терминал",H436="Оплачено"),F436,"")</f>
      </c>
      <c r="O436" s="14">
        <f>IF(AND(G436="Терминал",H436="Не оплачено"),F436,"")</f>
      </c>
      <c r="P436" s="13">
        <f>IF(AND(G436="Перечисление",H436="Оплачено"),F436,"")</f>
      </c>
      <c r="Q436" s="14">
        <f>IF(AND(G436="Перечисление",H436="Не оплачено"),F436,"")</f>
      </c>
    </row>
    <row r="437">
      <c r="A437" s="9">
        <v>434</v>
      </c>
      <c r="B437" s="7"/>
      <c r="C437" s="6"/>
      <c r="D437" s="8"/>
      <c r="E437" s="8"/>
      <c r="F437" s="4"/>
      <c r="G437" s="8"/>
      <c r="H437" s="8"/>
      <c r="I437" s="8"/>
      <c r="J437" s="13">
        <f>IF(AND(G437="Карта",H437="Оплачено"),F437,"")</f>
      </c>
      <c r="K437" s="14">
        <f>IF(AND(G437="Карта",H437="Не оплачено"),F437,"")</f>
      </c>
      <c r="L437" s="13">
        <f>IF(AND(G437="Наличные",H437="Оплачено"),F437,"")</f>
      </c>
      <c r="M437" s="14">
        <f>IF(AND(G437="Наличные",H437="Не оплачено"),F437,"")</f>
      </c>
      <c r="N437" s="13">
        <f>IF(AND(G437="Терминал",H437="Оплачено"),F437,"")</f>
      </c>
      <c r="O437" s="14">
        <f>IF(AND(G437="Терминал",H437="Не оплачено"),F437,"")</f>
      </c>
      <c r="P437" s="13">
        <f>IF(AND(G437="Перечисление",H437="Оплачено"),F437,"")</f>
      </c>
      <c r="Q437" s="14">
        <f>IF(AND(G437="Перечисление",H437="Не оплачено"),F437,"")</f>
      </c>
    </row>
    <row r="438">
      <c r="A438" s="9">
        <v>435</v>
      </c>
      <c r="B438" s="7"/>
      <c r="C438" s="6"/>
      <c r="D438" s="8"/>
      <c r="E438" s="8"/>
      <c r="F438" s="4"/>
      <c r="G438" s="8"/>
      <c r="H438" s="8"/>
      <c r="I438" s="8"/>
      <c r="J438" s="13">
        <f>IF(AND(G438="Карта",H438="Оплачено"),F438,"")</f>
      </c>
      <c r="K438" s="14">
        <f>IF(AND(G438="Карта",H438="Не оплачено"),F438,"")</f>
      </c>
      <c r="L438" s="13">
        <f>IF(AND(G438="Наличные",H438="Оплачено"),F438,"")</f>
      </c>
      <c r="M438" s="14">
        <f>IF(AND(G438="Наличные",H438="Не оплачено"),F438,"")</f>
      </c>
      <c r="N438" s="13">
        <f>IF(AND(G438="Терминал",H438="Оплачено"),F438,"")</f>
      </c>
      <c r="O438" s="14">
        <f>IF(AND(G438="Терминал",H438="Не оплачено"),F438,"")</f>
      </c>
      <c r="P438" s="13">
        <f>IF(AND(G438="Перечисление",H438="Оплачено"),F438,"")</f>
      </c>
      <c r="Q438" s="14">
        <f>IF(AND(G438="Перечисление",H438="Не оплачено"),F438,"")</f>
      </c>
    </row>
    <row r="439">
      <c r="A439" s="9">
        <v>436</v>
      </c>
      <c r="B439" s="7"/>
      <c r="C439" s="6"/>
      <c r="D439" s="8"/>
      <c r="E439" s="8"/>
      <c r="F439" s="4"/>
      <c r="G439" s="8"/>
      <c r="H439" s="8"/>
      <c r="I439" s="8"/>
      <c r="J439" s="13">
        <f>IF(AND(G439="Карта",H439="Оплачено"),F439,"")</f>
      </c>
      <c r="K439" s="14">
        <f>IF(AND(G439="Карта",H439="Не оплачено"),F439,"")</f>
      </c>
      <c r="L439" s="13">
        <f>IF(AND(G439="Наличные",H439="Оплачено"),F439,"")</f>
      </c>
      <c r="M439" s="14">
        <f>IF(AND(G439="Наличные",H439="Не оплачено"),F439,"")</f>
      </c>
      <c r="N439" s="13">
        <f>IF(AND(G439="Терминал",H439="Оплачено"),F439,"")</f>
      </c>
      <c r="O439" s="14">
        <f>IF(AND(G439="Терминал",H439="Не оплачено"),F439,"")</f>
      </c>
      <c r="P439" s="13">
        <f>IF(AND(G439="Перечисление",H439="Оплачено"),F439,"")</f>
      </c>
      <c r="Q439" s="14">
        <f>IF(AND(G439="Перечисление",H439="Не оплачено"),F439,"")</f>
      </c>
    </row>
    <row r="440">
      <c r="A440" s="9">
        <v>437</v>
      </c>
      <c r="B440" s="7"/>
      <c r="C440" s="6"/>
      <c r="D440" s="8"/>
      <c r="E440" s="8"/>
      <c r="F440" s="4"/>
      <c r="G440" s="8"/>
      <c r="H440" s="8"/>
      <c r="I440" s="8"/>
      <c r="J440" s="13">
        <f>IF(AND(G440="Карта",H440="Оплачено"),F440,"")</f>
      </c>
      <c r="K440" s="14">
        <f>IF(AND(G440="Карта",H440="Не оплачено"),F440,"")</f>
      </c>
      <c r="L440" s="13">
        <f>IF(AND(G440="Наличные",H440="Оплачено"),F440,"")</f>
      </c>
      <c r="M440" s="14">
        <f>IF(AND(G440="Наличные",H440="Не оплачено"),F440,"")</f>
      </c>
      <c r="N440" s="13">
        <f>IF(AND(G440="Терминал",H440="Оплачено"),F440,"")</f>
      </c>
      <c r="O440" s="14">
        <f>IF(AND(G440="Терминал",H440="Не оплачено"),F440,"")</f>
      </c>
      <c r="P440" s="13">
        <f>IF(AND(G440="Перечисление",H440="Оплачено"),F440,"")</f>
      </c>
      <c r="Q440" s="14">
        <f>IF(AND(G440="Перечисление",H440="Не оплачено"),F440,"")</f>
      </c>
    </row>
    <row r="441">
      <c r="A441" s="9">
        <v>438</v>
      </c>
      <c r="B441" s="7"/>
      <c r="C441" s="6"/>
      <c r="D441" s="8"/>
      <c r="E441" s="8"/>
      <c r="F441" s="4"/>
      <c r="G441" s="8"/>
      <c r="H441" s="8"/>
      <c r="I441" s="8"/>
      <c r="J441" s="13">
        <f>IF(AND(G441="Карта",H441="Оплачено"),F441,"")</f>
      </c>
      <c r="K441" s="14">
        <f>IF(AND(G441="Карта",H441="Не оплачено"),F441,"")</f>
      </c>
      <c r="L441" s="13">
        <f>IF(AND(G441="Наличные",H441="Оплачено"),F441,"")</f>
      </c>
      <c r="M441" s="14">
        <f>IF(AND(G441="Наличные",H441="Не оплачено"),F441,"")</f>
      </c>
      <c r="N441" s="13">
        <f>IF(AND(G441="Терминал",H441="Оплачено"),F441,"")</f>
      </c>
      <c r="O441" s="14">
        <f>IF(AND(G441="Терминал",H441="Не оплачено"),F441,"")</f>
      </c>
      <c r="P441" s="13">
        <f>IF(AND(G441="Перечисление",H441="Оплачено"),F441,"")</f>
      </c>
      <c r="Q441" s="14">
        <f>IF(AND(G441="Перечисление",H441="Не оплачено"),F441,"")</f>
      </c>
    </row>
    <row r="442">
      <c r="A442" s="9">
        <v>439</v>
      </c>
      <c r="B442" s="7"/>
      <c r="C442" s="6"/>
      <c r="D442" s="8"/>
      <c r="E442" s="8"/>
      <c r="F442" s="4"/>
      <c r="G442" s="8"/>
      <c r="H442" s="8"/>
      <c r="I442" s="8"/>
      <c r="J442" s="13">
        <f>IF(AND(G442="Карта",H442="Оплачено"),F442,"")</f>
      </c>
      <c r="K442" s="14">
        <f>IF(AND(G442="Карта",H442="Не оплачено"),F442,"")</f>
      </c>
      <c r="L442" s="13">
        <f>IF(AND(G442="Наличные",H442="Оплачено"),F442,"")</f>
      </c>
      <c r="M442" s="14">
        <f>IF(AND(G442="Наличные",H442="Не оплачено"),F442,"")</f>
      </c>
      <c r="N442" s="13">
        <f>IF(AND(G442="Терминал",H442="Оплачено"),F442,"")</f>
      </c>
      <c r="O442" s="14">
        <f>IF(AND(G442="Терминал",H442="Не оплачено"),F442,"")</f>
      </c>
      <c r="P442" s="13">
        <f>IF(AND(G442="Перечисление",H442="Оплачено"),F442,"")</f>
      </c>
      <c r="Q442" s="14">
        <f>IF(AND(G442="Перечисление",H442="Не оплачено"),F442,"")</f>
      </c>
    </row>
    <row r="443">
      <c r="A443" s="9">
        <v>440</v>
      </c>
      <c r="B443" s="7"/>
      <c r="C443" s="6"/>
      <c r="D443" s="8"/>
      <c r="E443" s="8"/>
      <c r="F443" s="4"/>
      <c r="G443" s="8"/>
      <c r="H443" s="8"/>
      <c r="I443" s="8"/>
      <c r="J443" s="13">
        <f>IF(AND(G443="Карта",H443="Оплачено"),F443,"")</f>
      </c>
      <c r="K443" s="14">
        <f>IF(AND(G443="Карта",H443="Не оплачено"),F443,"")</f>
      </c>
      <c r="L443" s="13">
        <f>IF(AND(G443="Наличные",H443="Оплачено"),F443,"")</f>
      </c>
      <c r="M443" s="14">
        <f>IF(AND(G443="Наличные",H443="Не оплачено"),F443,"")</f>
      </c>
      <c r="N443" s="13">
        <f>IF(AND(G443="Терминал",H443="Оплачено"),F443,"")</f>
      </c>
      <c r="O443" s="14">
        <f>IF(AND(G443="Терминал",H443="Не оплачено"),F443,"")</f>
      </c>
      <c r="P443" s="13">
        <f>IF(AND(G443="Перечисление",H443="Оплачено"),F443,"")</f>
      </c>
      <c r="Q443" s="14">
        <f>IF(AND(G443="Перечисление",H443="Не оплачено"),F443,"")</f>
      </c>
    </row>
    <row r="444">
      <c r="A444" s="9">
        <v>441</v>
      </c>
      <c r="B444" s="7"/>
      <c r="C444" s="6"/>
      <c r="D444" s="8"/>
      <c r="E444" s="8"/>
      <c r="F444" s="4"/>
      <c r="G444" s="8"/>
      <c r="H444" s="8"/>
      <c r="I444" s="8"/>
      <c r="J444" s="13">
        <f>IF(AND(G444="Карта",H444="Оплачено"),F444,"")</f>
      </c>
      <c r="K444" s="14">
        <f>IF(AND(G444="Карта",H444="Не оплачено"),F444,"")</f>
      </c>
      <c r="L444" s="13">
        <f>IF(AND(G444="Наличные",H444="Оплачено"),F444,"")</f>
      </c>
      <c r="M444" s="14">
        <f>IF(AND(G444="Наличные",H444="Не оплачено"),F444,"")</f>
      </c>
      <c r="N444" s="13">
        <f>IF(AND(G444="Терминал",H444="Оплачено"),F444,"")</f>
      </c>
      <c r="O444" s="14">
        <f>IF(AND(G444="Терминал",H444="Не оплачено"),F444,"")</f>
      </c>
      <c r="P444" s="13">
        <f>IF(AND(G444="Перечисление",H444="Оплачено"),F444,"")</f>
      </c>
      <c r="Q444" s="14">
        <f>IF(AND(G444="Перечисление",H444="Не оплачено"),F444,"")</f>
      </c>
    </row>
    <row r="445">
      <c r="A445" s="9">
        <v>442</v>
      </c>
      <c r="B445" s="7"/>
      <c r="C445" s="6"/>
      <c r="D445" s="8"/>
      <c r="E445" s="8"/>
      <c r="F445" s="4"/>
      <c r="G445" s="8"/>
      <c r="H445" s="8"/>
      <c r="I445" s="8"/>
      <c r="J445" s="13">
        <f>IF(AND(G445="Карта",H445="Оплачено"),F445,"")</f>
      </c>
      <c r="K445" s="14">
        <f>IF(AND(G445="Карта",H445="Не оплачено"),F445,"")</f>
      </c>
      <c r="L445" s="13">
        <f>IF(AND(G445="Наличные",H445="Оплачено"),F445,"")</f>
      </c>
      <c r="M445" s="14">
        <f>IF(AND(G445="Наличные",H445="Не оплачено"),F445,"")</f>
      </c>
      <c r="N445" s="13">
        <f>IF(AND(G445="Терминал",H445="Оплачено"),F445,"")</f>
      </c>
      <c r="O445" s="14">
        <f>IF(AND(G445="Терминал",H445="Не оплачено"),F445,"")</f>
      </c>
      <c r="P445" s="13">
        <f>IF(AND(G445="Перечисление",H445="Оплачено"),F445,"")</f>
      </c>
      <c r="Q445" s="14">
        <f>IF(AND(G445="Перечисление",H445="Не оплачено"),F445,"")</f>
      </c>
    </row>
    <row r="446">
      <c r="A446" s="9">
        <v>443</v>
      </c>
      <c r="B446" s="7"/>
      <c r="C446" s="6"/>
      <c r="D446" s="8"/>
      <c r="E446" s="8"/>
      <c r="F446" s="4"/>
      <c r="G446" s="8"/>
      <c r="H446" s="8"/>
      <c r="I446" s="8"/>
      <c r="J446" s="13">
        <f>IF(AND(G446="Карта",H446="Оплачено"),F446,"")</f>
      </c>
      <c r="K446" s="14">
        <f>IF(AND(G446="Карта",H446="Не оплачено"),F446,"")</f>
      </c>
      <c r="L446" s="13">
        <f>IF(AND(G446="Наличные",H446="Оплачено"),F446,"")</f>
      </c>
      <c r="M446" s="14">
        <f>IF(AND(G446="Наличные",H446="Не оплачено"),F446,"")</f>
      </c>
      <c r="N446" s="13">
        <f>IF(AND(G446="Терминал",H446="Оплачено"),F446,"")</f>
      </c>
      <c r="O446" s="14">
        <f>IF(AND(G446="Терминал",H446="Не оплачено"),F446,"")</f>
      </c>
      <c r="P446" s="13">
        <f>IF(AND(G446="Перечисление",H446="Оплачено"),F446,"")</f>
      </c>
      <c r="Q446" s="14">
        <f>IF(AND(G446="Перечисление",H446="Не оплачено"),F446,"")</f>
      </c>
    </row>
    <row r="447">
      <c r="A447" s="9">
        <v>444</v>
      </c>
      <c r="B447" s="7"/>
      <c r="C447" s="6"/>
      <c r="D447" s="8"/>
      <c r="E447" s="8"/>
      <c r="F447" s="4"/>
      <c r="G447" s="8"/>
      <c r="H447" s="8"/>
      <c r="I447" s="8"/>
      <c r="J447" s="13">
        <f>IF(AND(G447="Карта",H447="Оплачено"),F447,"")</f>
      </c>
      <c r="K447" s="14">
        <f>IF(AND(G447="Карта",H447="Не оплачено"),F447,"")</f>
      </c>
      <c r="L447" s="13">
        <f>IF(AND(G447="Наличные",H447="Оплачено"),F447,"")</f>
      </c>
      <c r="M447" s="14">
        <f>IF(AND(G447="Наличные",H447="Не оплачено"),F447,"")</f>
      </c>
      <c r="N447" s="13">
        <f>IF(AND(G447="Терминал",H447="Оплачено"),F447,"")</f>
      </c>
      <c r="O447" s="14">
        <f>IF(AND(G447="Терминал",H447="Не оплачено"),F447,"")</f>
      </c>
      <c r="P447" s="13">
        <f>IF(AND(G447="Перечисление",H447="Оплачено"),F447,"")</f>
      </c>
      <c r="Q447" s="14">
        <f>IF(AND(G447="Перечисление",H447="Не оплачено"),F447,"")</f>
      </c>
    </row>
    <row r="448">
      <c r="A448" s="9">
        <v>445</v>
      </c>
      <c r="B448" s="7"/>
      <c r="C448" s="6"/>
      <c r="D448" s="8"/>
      <c r="E448" s="8"/>
      <c r="F448" s="4"/>
      <c r="G448" s="8"/>
      <c r="H448" s="8"/>
      <c r="I448" s="8"/>
      <c r="J448" s="13">
        <f>IF(AND(G448="Карта",H448="Оплачено"),F448,"")</f>
      </c>
      <c r="K448" s="14">
        <f>IF(AND(G448="Карта",H448="Не оплачено"),F448,"")</f>
      </c>
      <c r="L448" s="13">
        <f>IF(AND(G448="Наличные",H448="Оплачено"),F448,"")</f>
      </c>
      <c r="M448" s="14">
        <f>IF(AND(G448="Наличные",H448="Не оплачено"),F448,"")</f>
      </c>
      <c r="N448" s="13">
        <f>IF(AND(G448="Терминал",H448="Оплачено"),F448,"")</f>
      </c>
      <c r="O448" s="14">
        <f>IF(AND(G448="Терминал",H448="Не оплачено"),F448,"")</f>
      </c>
      <c r="P448" s="13">
        <f>IF(AND(G448="Перечисление",H448="Оплачено"),F448,"")</f>
      </c>
      <c r="Q448" s="14">
        <f>IF(AND(G448="Перечисление",H448="Не оплачено"),F448,"")</f>
      </c>
    </row>
    <row r="449">
      <c r="A449" s="9">
        <v>446</v>
      </c>
      <c r="B449" s="7"/>
      <c r="C449" s="6"/>
      <c r="D449" s="8"/>
      <c r="E449" s="8"/>
      <c r="F449" s="4"/>
      <c r="G449" s="8"/>
      <c r="H449" s="8"/>
      <c r="I449" s="8"/>
      <c r="J449" s="13">
        <f>IF(AND(G449="Карта",H449="Оплачено"),F449,"")</f>
      </c>
      <c r="K449" s="14">
        <f>IF(AND(G449="Карта",H449="Не оплачено"),F449,"")</f>
      </c>
      <c r="L449" s="13">
        <f>IF(AND(G449="Наличные",H449="Оплачено"),F449,"")</f>
      </c>
      <c r="M449" s="14">
        <f>IF(AND(G449="Наличные",H449="Не оплачено"),F449,"")</f>
      </c>
      <c r="N449" s="13">
        <f>IF(AND(G449="Терминал",H449="Оплачено"),F449,"")</f>
      </c>
      <c r="O449" s="14">
        <f>IF(AND(G449="Терминал",H449="Не оплачено"),F449,"")</f>
      </c>
      <c r="P449" s="13">
        <f>IF(AND(G449="Перечисление",H449="Оплачено"),F449,"")</f>
      </c>
      <c r="Q449" s="14">
        <f>IF(AND(G449="Перечисление",H449="Не оплачено"),F449,"")</f>
      </c>
    </row>
    <row r="450">
      <c r="A450" s="9">
        <v>447</v>
      </c>
      <c r="B450" s="7"/>
      <c r="C450" s="6"/>
      <c r="D450" s="8"/>
      <c r="E450" s="8"/>
      <c r="F450" s="4"/>
      <c r="G450" s="8"/>
      <c r="H450" s="8"/>
      <c r="I450" s="8"/>
      <c r="J450" s="13">
        <f>IF(AND(G450="Карта",H450="Оплачено"),F450,"")</f>
      </c>
      <c r="K450" s="14">
        <f>IF(AND(G450="Карта",H450="Не оплачено"),F450,"")</f>
      </c>
      <c r="L450" s="13">
        <f>IF(AND(G450="Наличные",H450="Оплачено"),F450,"")</f>
      </c>
      <c r="M450" s="14">
        <f>IF(AND(G450="Наличные",H450="Не оплачено"),F450,"")</f>
      </c>
      <c r="N450" s="13">
        <f>IF(AND(G450="Терминал",H450="Оплачено"),F450,"")</f>
      </c>
      <c r="O450" s="14">
        <f>IF(AND(G450="Терминал",H450="Не оплачено"),F450,"")</f>
      </c>
      <c r="P450" s="13">
        <f>IF(AND(G450="Перечисление",H450="Оплачено"),F450,"")</f>
      </c>
      <c r="Q450" s="14">
        <f>IF(AND(G450="Перечисление",H450="Не оплачено"),F450,"")</f>
      </c>
    </row>
    <row r="451">
      <c r="A451" s="9">
        <v>448</v>
      </c>
      <c r="B451" s="7"/>
      <c r="C451" s="6"/>
      <c r="D451" s="8"/>
      <c r="E451" s="8"/>
      <c r="F451" s="4"/>
      <c r="G451" s="8"/>
      <c r="H451" s="8"/>
      <c r="I451" s="8"/>
      <c r="J451" s="13">
        <f>IF(AND(G451="Карта",H451="Оплачено"),F451,"")</f>
      </c>
      <c r="K451" s="14">
        <f>IF(AND(G451="Карта",H451="Не оплачено"),F451,"")</f>
      </c>
      <c r="L451" s="13">
        <f>IF(AND(G451="Наличные",H451="Оплачено"),F451,"")</f>
      </c>
      <c r="M451" s="14">
        <f>IF(AND(G451="Наличные",H451="Не оплачено"),F451,"")</f>
      </c>
      <c r="N451" s="13">
        <f>IF(AND(G451="Терминал",H451="Оплачено"),F451,"")</f>
      </c>
      <c r="O451" s="14">
        <f>IF(AND(G451="Терминал",H451="Не оплачено"),F451,"")</f>
      </c>
      <c r="P451" s="13">
        <f>IF(AND(G451="Перечисление",H451="Оплачено"),F451,"")</f>
      </c>
      <c r="Q451" s="14">
        <f>IF(AND(G451="Перечисление",H451="Не оплачено"),F451,"")</f>
      </c>
    </row>
    <row r="452">
      <c r="A452" s="9">
        <v>449</v>
      </c>
      <c r="B452" s="7"/>
      <c r="C452" s="6"/>
      <c r="D452" s="8"/>
      <c r="E452" s="8"/>
      <c r="F452" s="4"/>
      <c r="G452" s="8"/>
      <c r="H452" s="8"/>
      <c r="I452" s="8"/>
      <c r="J452" s="13">
        <f>IF(AND(G452="Карта",H452="Оплачено"),F452,"")</f>
      </c>
      <c r="K452" s="14">
        <f>IF(AND(G452="Карта",H452="Не оплачено"),F452,"")</f>
      </c>
      <c r="L452" s="13">
        <f>IF(AND(G452="Наличные",H452="Оплачено"),F452,"")</f>
      </c>
      <c r="M452" s="14">
        <f>IF(AND(G452="Наличные",H452="Не оплачено"),F452,"")</f>
      </c>
      <c r="N452" s="13">
        <f>IF(AND(G452="Терминал",H452="Оплачено"),F452,"")</f>
      </c>
      <c r="O452" s="14">
        <f>IF(AND(G452="Терминал",H452="Не оплачено"),F452,"")</f>
      </c>
      <c r="P452" s="13">
        <f>IF(AND(G452="Перечисление",H452="Оплачено"),F452,"")</f>
      </c>
      <c r="Q452" s="14">
        <f>IF(AND(G452="Перечисление",H452="Не оплачено"),F452,"")</f>
      </c>
    </row>
    <row r="453">
      <c r="A453" s="9">
        <v>450</v>
      </c>
      <c r="B453" s="7"/>
      <c r="C453" s="6"/>
      <c r="D453" s="8"/>
      <c r="E453" s="8"/>
      <c r="F453" s="4"/>
      <c r="G453" s="8"/>
      <c r="H453" s="8"/>
      <c r="I453" s="8"/>
      <c r="J453" s="13">
        <f>IF(AND(G453="Карта",H453="Оплачено"),F453,"")</f>
      </c>
      <c r="K453" s="14">
        <f>IF(AND(G453="Карта",H453="Не оплачено"),F453,"")</f>
      </c>
      <c r="L453" s="13">
        <f>IF(AND(G453="Наличные",H453="Оплачено"),F453,"")</f>
      </c>
      <c r="M453" s="14">
        <f>IF(AND(G453="Наличные",H453="Не оплачено"),F453,"")</f>
      </c>
      <c r="N453" s="13">
        <f>IF(AND(G453="Терминал",H453="Оплачено"),F453,"")</f>
      </c>
      <c r="O453" s="14">
        <f>IF(AND(G453="Терминал",H453="Не оплачено"),F453,"")</f>
      </c>
      <c r="P453" s="13">
        <f>IF(AND(G453="Перечисление",H453="Оплачено"),F453,"")</f>
      </c>
      <c r="Q453" s="14">
        <f>IF(AND(G453="Перечисление",H453="Не оплачено"),F453,"")</f>
      </c>
    </row>
    <row r="454">
      <c r="A454" s="9">
        <v>451</v>
      </c>
      <c r="B454" s="7"/>
      <c r="C454" s="6"/>
      <c r="D454" s="8"/>
      <c r="E454" s="8"/>
      <c r="F454" s="4"/>
      <c r="G454" s="8"/>
      <c r="H454" s="8"/>
      <c r="I454" s="8"/>
      <c r="J454" s="13">
        <f>IF(AND(G454="Карта",H454="Оплачено"),F454,"")</f>
      </c>
      <c r="K454" s="14">
        <f>IF(AND(G454="Карта",H454="Не оплачено"),F454,"")</f>
      </c>
      <c r="L454" s="13">
        <f>IF(AND(G454="Наличные",H454="Оплачено"),F454,"")</f>
      </c>
      <c r="M454" s="14">
        <f>IF(AND(G454="Наличные",H454="Не оплачено"),F454,"")</f>
      </c>
      <c r="N454" s="13">
        <f>IF(AND(G454="Терминал",H454="Оплачено"),F454,"")</f>
      </c>
      <c r="O454" s="14">
        <f>IF(AND(G454="Терминал",H454="Не оплачено"),F454,"")</f>
      </c>
      <c r="P454" s="13">
        <f>IF(AND(G454="Перечисление",H454="Оплачено"),F454,"")</f>
      </c>
      <c r="Q454" s="14">
        <f>IF(AND(G454="Перечисление",H454="Не оплачено"),F454,"")</f>
      </c>
    </row>
    <row r="455">
      <c r="A455" s="9">
        <v>452</v>
      </c>
      <c r="B455" s="7"/>
      <c r="C455" s="6"/>
      <c r="D455" s="8"/>
      <c r="E455" s="8"/>
      <c r="F455" s="4"/>
      <c r="G455" s="8"/>
      <c r="H455" s="8"/>
      <c r="I455" s="8"/>
      <c r="J455" s="13">
        <f>IF(AND(G455="Карта",H455="Оплачено"),F455,"")</f>
      </c>
      <c r="K455" s="14">
        <f>IF(AND(G455="Карта",H455="Не оплачено"),F455,"")</f>
      </c>
      <c r="L455" s="13">
        <f>IF(AND(G455="Наличные",H455="Оплачено"),F455,"")</f>
      </c>
      <c r="M455" s="14">
        <f>IF(AND(G455="Наличные",H455="Не оплачено"),F455,"")</f>
      </c>
      <c r="N455" s="13">
        <f>IF(AND(G455="Терминал",H455="Оплачено"),F455,"")</f>
      </c>
      <c r="O455" s="14">
        <f>IF(AND(G455="Терминал",H455="Не оплачено"),F455,"")</f>
      </c>
      <c r="P455" s="13">
        <f>IF(AND(G455="Перечисление",H455="Оплачено"),F455,"")</f>
      </c>
      <c r="Q455" s="14">
        <f>IF(AND(G455="Перечисление",H455="Не оплачено"),F455,"")</f>
      </c>
    </row>
    <row r="456">
      <c r="A456" s="9">
        <v>453</v>
      </c>
      <c r="B456" s="7"/>
      <c r="C456" s="6"/>
      <c r="D456" s="8"/>
      <c r="E456" s="8"/>
      <c r="F456" s="4"/>
      <c r="G456" s="8"/>
      <c r="H456" s="8"/>
      <c r="I456" s="8"/>
      <c r="J456" s="13">
        <f>IF(AND(G456="Карта",H456="Оплачено"),F456,"")</f>
      </c>
      <c r="K456" s="14">
        <f>IF(AND(G456="Карта",H456="Не оплачено"),F456,"")</f>
      </c>
      <c r="L456" s="13">
        <f>IF(AND(G456="Наличные",H456="Оплачено"),F456,"")</f>
      </c>
      <c r="M456" s="14">
        <f>IF(AND(G456="Наличные",H456="Не оплачено"),F456,"")</f>
      </c>
      <c r="N456" s="13">
        <f>IF(AND(G456="Терминал",H456="Оплачено"),F456,"")</f>
      </c>
      <c r="O456" s="14">
        <f>IF(AND(G456="Терминал",H456="Не оплачено"),F456,"")</f>
      </c>
      <c r="P456" s="13">
        <f>IF(AND(G456="Перечисление",H456="Оплачено"),F456,"")</f>
      </c>
      <c r="Q456" s="14">
        <f>IF(AND(G456="Перечисление",H456="Не оплачено"),F456,"")</f>
      </c>
    </row>
    <row r="457">
      <c r="A457" s="9">
        <v>454</v>
      </c>
      <c r="B457" s="7"/>
      <c r="C457" s="6"/>
      <c r="D457" s="8"/>
      <c r="E457" s="8"/>
      <c r="F457" s="4"/>
      <c r="G457" s="8"/>
      <c r="H457" s="8"/>
      <c r="I457" s="8"/>
      <c r="J457" s="13">
        <f>IF(AND(G457="Карта",H457="Оплачено"),F457,"")</f>
      </c>
      <c r="K457" s="14">
        <f>IF(AND(G457="Карта",H457="Не оплачено"),F457,"")</f>
      </c>
      <c r="L457" s="13">
        <f>IF(AND(G457="Наличные",H457="Оплачено"),F457,"")</f>
      </c>
      <c r="M457" s="14">
        <f>IF(AND(G457="Наличные",H457="Не оплачено"),F457,"")</f>
      </c>
      <c r="N457" s="13">
        <f>IF(AND(G457="Терминал",H457="Оплачено"),F457,"")</f>
      </c>
      <c r="O457" s="14">
        <f>IF(AND(G457="Терминал",H457="Не оплачено"),F457,"")</f>
      </c>
      <c r="P457" s="13">
        <f>IF(AND(G457="Перечисление",H457="Оплачено"),F457,"")</f>
      </c>
      <c r="Q457" s="14">
        <f>IF(AND(G457="Перечисление",H457="Не оплачено"),F457,"")</f>
      </c>
    </row>
    <row r="458">
      <c r="A458" s="9">
        <v>455</v>
      </c>
      <c r="B458" s="7"/>
      <c r="C458" s="6"/>
      <c r="D458" s="8"/>
      <c r="E458" s="8"/>
      <c r="F458" s="4"/>
      <c r="G458" s="8"/>
      <c r="H458" s="8"/>
      <c r="I458" s="8"/>
      <c r="J458" s="13">
        <f>IF(AND(G458="Карта",H458="Оплачено"),F458,"")</f>
      </c>
      <c r="K458" s="14">
        <f>IF(AND(G458="Карта",H458="Не оплачено"),F458,"")</f>
      </c>
      <c r="L458" s="13">
        <f>IF(AND(G458="Наличные",H458="Оплачено"),F458,"")</f>
      </c>
      <c r="M458" s="14">
        <f>IF(AND(G458="Наличные",H458="Не оплачено"),F458,"")</f>
      </c>
      <c r="N458" s="13">
        <f>IF(AND(G458="Терминал",H458="Оплачено"),F458,"")</f>
      </c>
      <c r="O458" s="14">
        <f>IF(AND(G458="Терминал",H458="Не оплачено"),F458,"")</f>
      </c>
      <c r="P458" s="13">
        <f>IF(AND(G458="Перечисление",H458="Оплачено"),F458,"")</f>
      </c>
      <c r="Q458" s="14">
        <f>IF(AND(G458="Перечисление",H458="Не оплачено"),F458,"")</f>
      </c>
    </row>
    <row r="459">
      <c r="A459" s="9">
        <v>456</v>
      </c>
      <c r="B459" s="7"/>
      <c r="C459" s="6"/>
      <c r="D459" s="8"/>
      <c r="E459" s="8"/>
      <c r="F459" s="4"/>
      <c r="G459" s="8"/>
      <c r="H459" s="8"/>
      <c r="I459" s="8"/>
      <c r="J459" s="13">
        <f>IF(AND(G459="Карта",H459="Оплачено"),F459,"")</f>
      </c>
      <c r="K459" s="14">
        <f>IF(AND(G459="Карта",H459="Не оплачено"),F459,"")</f>
      </c>
      <c r="L459" s="13">
        <f>IF(AND(G459="Наличные",H459="Оплачено"),F459,"")</f>
      </c>
      <c r="M459" s="14">
        <f>IF(AND(G459="Наличные",H459="Не оплачено"),F459,"")</f>
      </c>
      <c r="N459" s="13">
        <f>IF(AND(G459="Терминал",H459="Оплачено"),F459,"")</f>
      </c>
      <c r="O459" s="14">
        <f>IF(AND(G459="Терминал",H459="Не оплачено"),F459,"")</f>
      </c>
      <c r="P459" s="13">
        <f>IF(AND(G459="Перечисление",H459="Оплачено"),F459,"")</f>
      </c>
      <c r="Q459" s="14">
        <f>IF(AND(G459="Перечисление",H459="Не оплачено"),F459,"")</f>
      </c>
    </row>
    <row r="460">
      <c r="A460" s="9">
        <v>457</v>
      </c>
      <c r="B460" s="7"/>
      <c r="C460" s="6"/>
      <c r="D460" s="8"/>
      <c r="E460" s="8"/>
      <c r="F460" s="4"/>
      <c r="G460" s="8"/>
      <c r="H460" s="8"/>
      <c r="I460" s="8"/>
      <c r="J460" s="13">
        <f>IF(AND(G460="Карта",H460="Оплачено"),F460,"")</f>
      </c>
      <c r="K460" s="14">
        <f>IF(AND(G460="Карта",H460="Не оплачено"),F460,"")</f>
      </c>
      <c r="L460" s="13">
        <f>IF(AND(G460="Наличные",H460="Оплачено"),F460,"")</f>
      </c>
      <c r="M460" s="14">
        <f>IF(AND(G460="Наличные",H460="Не оплачено"),F460,"")</f>
      </c>
      <c r="N460" s="13">
        <f>IF(AND(G460="Терминал",H460="Оплачено"),F460,"")</f>
      </c>
      <c r="O460" s="14">
        <f>IF(AND(G460="Терминал",H460="Не оплачено"),F460,"")</f>
      </c>
      <c r="P460" s="13">
        <f>IF(AND(G460="Перечисление",H460="Оплачено"),F460,"")</f>
      </c>
      <c r="Q460" s="14">
        <f>IF(AND(G460="Перечисление",H460="Не оплачено"),F460,"")</f>
      </c>
    </row>
    <row r="461">
      <c r="A461" s="9">
        <v>458</v>
      </c>
      <c r="B461" s="7"/>
      <c r="C461" s="6"/>
      <c r="D461" s="8"/>
      <c r="E461" s="8"/>
      <c r="F461" s="4"/>
      <c r="G461" s="8"/>
      <c r="H461" s="8"/>
      <c r="I461" s="8"/>
      <c r="J461" s="13">
        <f>IF(AND(G461="Карта",H461="Оплачено"),F461,"")</f>
      </c>
      <c r="K461" s="14">
        <f>IF(AND(G461="Карта",H461="Не оплачено"),F461,"")</f>
      </c>
      <c r="L461" s="13">
        <f>IF(AND(G461="Наличные",H461="Оплачено"),F461,"")</f>
      </c>
      <c r="M461" s="14">
        <f>IF(AND(G461="Наличные",H461="Не оплачено"),F461,"")</f>
      </c>
      <c r="N461" s="13">
        <f>IF(AND(G461="Терминал",H461="Оплачено"),F461,"")</f>
      </c>
      <c r="O461" s="14">
        <f>IF(AND(G461="Терминал",H461="Не оплачено"),F461,"")</f>
      </c>
      <c r="P461" s="13">
        <f>IF(AND(G461="Перечисление",H461="Оплачено"),F461,"")</f>
      </c>
      <c r="Q461" s="14">
        <f>IF(AND(G461="Перечисление",H461="Не оплачено"),F461,"")</f>
      </c>
    </row>
    <row r="462">
      <c r="A462" s="9">
        <v>459</v>
      </c>
      <c r="B462" s="7"/>
      <c r="C462" s="6"/>
      <c r="D462" s="8"/>
      <c r="E462" s="8"/>
      <c r="F462" s="4"/>
      <c r="G462" s="8"/>
      <c r="H462" s="8"/>
      <c r="I462" s="8"/>
      <c r="J462" s="13">
        <f>IF(AND(G462="Карта",H462="Оплачено"),F462,"")</f>
      </c>
      <c r="K462" s="14">
        <f>IF(AND(G462="Карта",H462="Не оплачено"),F462,"")</f>
      </c>
      <c r="L462" s="13">
        <f>IF(AND(G462="Наличные",H462="Оплачено"),F462,"")</f>
      </c>
      <c r="M462" s="14">
        <f>IF(AND(G462="Наличные",H462="Не оплачено"),F462,"")</f>
      </c>
      <c r="N462" s="13">
        <f>IF(AND(G462="Терминал",H462="Оплачено"),F462,"")</f>
      </c>
      <c r="O462" s="14">
        <f>IF(AND(G462="Терминал",H462="Не оплачено"),F462,"")</f>
      </c>
      <c r="P462" s="13">
        <f>IF(AND(G462="Перечисление",H462="Оплачено"),F462,"")</f>
      </c>
      <c r="Q462" s="14">
        <f>IF(AND(G462="Перечисление",H462="Не оплачено"),F462,"")</f>
      </c>
    </row>
    <row r="463">
      <c r="A463" s="9">
        <v>460</v>
      </c>
      <c r="B463" s="7"/>
      <c r="C463" s="6"/>
      <c r="D463" s="8"/>
      <c r="E463" s="8"/>
      <c r="F463" s="4"/>
      <c r="G463" s="8"/>
      <c r="H463" s="8"/>
      <c r="I463" s="8"/>
      <c r="J463" s="13">
        <f>IF(AND(G463="Карта",H463="Оплачено"),F463,"")</f>
      </c>
      <c r="K463" s="14">
        <f>IF(AND(G463="Карта",H463="Не оплачено"),F463,"")</f>
      </c>
      <c r="L463" s="13">
        <f>IF(AND(G463="Наличные",H463="Оплачено"),F463,"")</f>
      </c>
      <c r="M463" s="14">
        <f>IF(AND(G463="Наличные",H463="Не оплачено"),F463,"")</f>
      </c>
      <c r="N463" s="13">
        <f>IF(AND(G463="Терминал",H463="Оплачено"),F463,"")</f>
      </c>
      <c r="O463" s="14">
        <f>IF(AND(G463="Терминал",H463="Не оплачено"),F463,"")</f>
      </c>
      <c r="P463" s="13">
        <f>IF(AND(G463="Перечисление",H463="Оплачено"),F463,"")</f>
      </c>
      <c r="Q463" s="14">
        <f>IF(AND(G463="Перечисление",H463="Не оплачено"),F463,"")</f>
      </c>
    </row>
    <row r="464">
      <c r="A464" s="9">
        <v>461</v>
      </c>
      <c r="B464" s="7"/>
      <c r="C464" s="6"/>
      <c r="D464" s="8"/>
      <c r="E464" s="8"/>
      <c r="F464" s="4"/>
      <c r="G464" s="8"/>
      <c r="H464" s="8"/>
      <c r="I464" s="8"/>
      <c r="J464" s="13">
        <f>IF(AND(G464="Карта",H464="Оплачено"),F464,"")</f>
      </c>
      <c r="K464" s="14">
        <f>IF(AND(G464="Карта",H464="Не оплачено"),F464,"")</f>
      </c>
      <c r="L464" s="13">
        <f>IF(AND(G464="Наличные",H464="Оплачено"),F464,"")</f>
      </c>
      <c r="M464" s="14">
        <f>IF(AND(G464="Наличные",H464="Не оплачено"),F464,"")</f>
      </c>
      <c r="N464" s="13">
        <f>IF(AND(G464="Терминал",H464="Оплачено"),F464,"")</f>
      </c>
      <c r="O464" s="14">
        <f>IF(AND(G464="Терминал",H464="Не оплачено"),F464,"")</f>
      </c>
      <c r="P464" s="13">
        <f>IF(AND(G464="Перечисление",H464="Оплачено"),F464,"")</f>
      </c>
      <c r="Q464" s="14">
        <f>IF(AND(G464="Перечисление",H464="Не оплачено"),F464,"")</f>
      </c>
    </row>
    <row r="465">
      <c r="A465" s="9">
        <v>462</v>
      </c>
      <c r="B465" s="7"/>
      <c r="C465" s="6"/>
      <c r="D465" s="8"/>
      <c r="E465" s="8"/>
      <c r="F465" s="4"/>
      <c r="G465" s="8"/>
      <c r="H465" s="8"/>
      <c r="I465" s="8"/>
      <c r="J465" s="13">
        <f>IF(AND(G465="Карта",H465="Оплачено"),F465,"")</f>
      </c>
      <c r="K465" s="14">
        <f>IF(AND(G465="Карта",H465="Не оплачено"),F465,"")</f>
      </c>
      <c r="L465" s="13">
        <f>IF(AND(G465="Наличные",H465="Оплачено"),F465,"")</f>
      </c>
      <c r="M465" s="14">
        <f>IF(AND(G465="Наличные",H465="Не оплачено"),F465,"")</f>
      </c>
      <c r="N465" s="13">
        <f>IF(AND(G465="Терминал",H465="Оплачено"),F465,"")</f>
      </c>
      <c r="O465" s="14">
        <f>IF(AND(G465="Терминал",H465="Не оплачено"),F465,"")</f>
      </c>
      <c r="P465" s="13">
        <f>IF(AND(G465="Перечисление",H465="Оплачено"),F465,"")</f>
      </c>
      <c r="Q465" s="14">
        <f>IF(AND(G465="Перечисление",H465="Не оплачено"),F465,"")</f>
      </c>
    </row>
    <row r="466">
      <c r="A466" s="9">
        <v>463</v>
      </c>
      <c r="B466" s="7"/>
      <c r="C466" s="6"/>
      <c r="D466" s="8"/>
      <c r="E466" s="8"/>
      <c r="F466" s="4"/>
      <c r="G466" s="8"/>
      <c r="H466" s="8"/>
      <c r="I466" s="8"/>
      <c r="J466" s="13">
        <f>IF(AND(G466="Карта",H466="Оплачено"),F466,"")</f>
      </c>
      <c r="K466" s="14">
        <f>IF(AND(G466="Карта",H466="Не оплачено"),F466,"")</f>
      </c>
      <c r="L466" s="13">
        <f>IF(AND(G466="Наличные",H466="Оплачено"),F466,"")</f>
      </c>
      <c r="M466" s="14">
        <f>IF(AND(G466="Наличные",H466="Не оплачено"),F466,"")</f>
      </c>
      <c r="N466" s="13">
        <f>IF(AND(G466="Терминал",H466="Оплачено"),F466,"")</f>
      </c>
      <c r="O466" s="14">
        <f>IF(AND(G466="Терминал",H466="Не оплачено"),F466,"")</f>
      </c>
      <c r="P466" s="13">
        <f>IF(AND(G466="Перечисление",H466="Оплачено"),F466,"")</f>
      </c>
      <c r="Q466" s="14">
        <f>IF(AND(G466="Перечисление",H466="Не оплачено"),F466,"")</f>
      </c>
    </row>
    <row r="467">
      <c r="A467" s="9">
        <v>464</v>
      </c>
      <c r="B467" s="7"/>
      <c r="C467" s="6"/>
      <c r="D467" s="8"/>
      <c r="E467" s="8"/>
      <c r="F467" s="4"/>
      <c r="G467" s="8"/>
      <c r="H467" s="8"/>
      <c r="I467" s="8"/>
      <c r="J467" s="13">
        <f>IF(AND(G467="Карта",H467="Оплачено"),F467,"")</f>
      </c>
      <c r="K467" s="14">
        <f>IF(AND(G467="Карта",H467="Не оплачено"),F467,"")</f>
      </c>
      <c r="L467" s="13">
        <f>IF(AND(G467="Наличные",H467="Оплачено"),F467,"")</f>
      </c>
      <c r="M467" s="14">
        <f>IF(AND(G467="Наличные",H467="Не оплачено"),F467,"")</f>
      </c>
      <c r="N467" s="13">
        <f>IF(AND(G467="Терминал",H467="Оплачено"),F467,"")</f>
      </c>
      <c r="O467" s="14">
        <f>IF(AND(G467="Терминал",H467="Не оплачено"),F467,"")</f>
      </c>
      <c r="P467" s="13">
        <f>IF(AND(G467="Перечисление",H467="Оплачено"),F467,"")</f>
      </c>
      <c r="Q467" s="14">
        <f>IF(AND(G467="Перечисление",H467="Не оплачено"),F467,"")</f>
      </c>
    </row>
    <row r="468">
      <c r="A468" s="9">
        <v>465</v>
      </c>
      <c r="B468" s="7"/>
      <c r="C468" s="6"/>
      <c r="D468" s="8"/>
      <c r="E468" s="8"/>
      <c r="F468" s="4"/>
      <c r="G468" s="8"/>
      <c r="H468" s="8"/>
      <c r="I468" s="8"/>
      <c r="J468" s="13">
        <f>IF(AND(G468="Карта",H468="Оплачено"),F468,"")</f>
      </c>
      <c r="K468" s="14">
        <f>IF(AND(G468="Карта",H468="Не оплачено"),F468,"")</f>
      </c>
      <c r="L468" s="13">
        <f>IF(AND(G468="Наличные",H468="Оплачено"),F468,"")</f>
      </c>
      <c r="M468" s="14">
        <f>IF(AND(G468="Наличные",H468="Не оплачено"),F468,"")</f>
      </c>
      <c r="N468" s="13">
        <f>IF(AND(G468="Терминал",H468="Оплачено"),F468,"")</f>
      </c>
      <c r="O468" s="14">
        <f>IF(AND(G468="Терминал",H468="Не оплачено"),F468,"")</f>
      </c>
      <c r="P468" s="13">
        <f>IF(AND(G468="Перечисление",H468="Оплачено"),F468,"")</f>
      </c>
      <c r="Q468" s="14">
        <f>IF(AND(G468="Перечисление",H468="Не оплачено"),F468,"")</f>
      </c>
    </row>
    <row r="469">
      <c r="A469" s="9">
        <v>466</v>
      </c>
      <c r="B469" s="7"/>
      <c r="C469" s="6"/>
      <c r="D469" s="8"/>
      <c r="E469" s="8"/>
      <c r="F469" s="4"/>
      <c r="G469" s="8"/>
      <c r="H469" s="8"/>
      <c r="I469" s="8"/>
      <c r="J469" s="13">
        <f>IF(AND(G469="Карта",H469="Оплачено"),F469,"")</f>
      </c>
      <c r="K469" s="14">
        <f>IF(AND(G469="Карта",H469="Не оплачено"),F469,"")</f>
      </c>
      <c r="L469" s="13">
        <f>IF(AND(G469="Наличные",H469="Оплачено"),F469,"")</f>
      </c>
      <c r="M469" s="14">
        <f>IF(AND(G469="Наличные",H469="Не оплачено"),F469,"")</f>
      </c>
      <c r="N469" s="13">
        <f>IF(AND(G469="Терминал",H469="Оплачено"),F469,"")</f>
      </c>
      <c r="O469" s="14">
        <f>IF(AND(G469="Терминал",H469="Не оплачено"),F469,"")</f>
      </c>
      <c r="P469" s="13">
        <f>IF(AND(G469="Перечисление",H469="Оплачено"),F469,"")</f>
      </c>
      <c r="Q469" s="14">
        <f>IF(AND(G469="Перечисление",H469="Не оплачено"),F469,"")</f>
      </c>
    </row>
    <row r="470">
      <c r="A470" s="9">
        <v>467</v>
      </c>
      <c r="B470" s="7"/>
      <c r="C470" s="6"/>
      <c r="D470" s="8"/>
      <c r="E470" s="8"/>
      <c r="F470" s="4"/>
      <c r="G470" s="8"/>
      <c r="H470" s="8"/>
      <c r="I470" s="8"/>
      <c r="J470" s="13">
        <f>IF(AND(G470="Карта",H470="Оплачено"),F470,"")</f>
      </c>
      <c r="K470" s="14">
        <f>IF(AND(G470="Карта",H470="Не оплачено"),F470,"")</f>
      </c>
      <c r="L470" s="13">
        <f>IF(AND(G470="Наличные",H470="Оплачено"),F470,"")</f>
      </c>
      <c r="M470" s="14">
        <f>IF(AND(G470="Наличные",H470="Не оплачено"),F470,"")</f>
      </c>
      <c r="N470" s="13">
        <f>IF(AND(G470="Терминал",H470="Оплачено"),F470,"")</f>
      </c>
      <c r="O470" s="14">
        <f>IF(AND(G470="Терминал",H470="Не оплачено"),F470,"")</f>
      </c>
      <c r="P470" s="13">
        <f>IF(AND(G470="Перечисление",H470="Оплачено"),F470,"")</f>
      </c>
      <c r="Q470" s="14">
        <f>IF(AND(G470="Перечисление",H470="Не оплачено"),F470,"")</f>
      </c>
    </row>
    <row r="471">
      <c r="A471" s="9">
        <v>468</v>
      </c>
      <c r="B471" s="7"/>
      <c r="C471" s="6"/>
      <c r="D471" s="8"/>
      <c r="E471" s="8"/>
      <c r="F471" s="4"/>
      <c r="G471" s="8"/>
      <c r="H471" s="8"/>
      <c r="I471" s="8"/>
      <c r="J471" s="13">
        <f>IF(AND(G471="Карта",H471="Оплачено"),F471,"")</f>
      </c>
      <c r="K471" s="14">
        <f>IF(AND(G471="Карта",H471="Не оплачено"),F471,"")</f>
      </c>
      <c r="L471" s="13">
        <f>IF(AND(G471="Наличные",H471="Оплачено"),F471,"")</f>
      </c>
      <c r="M471" s="14">
        <f>IF(AND(G471="Наличные",H471="Не оплачено"),F471,"")</f>
      </c>
      <c r="N471" s="13">
        <f>IF(AND(G471="Терминал",H471="Оплачено"),F471,"")</f>
      </c>
      <c r="O471" s="14">
        <f>IF(AND(G471="Терминал",H471="Не оплачено"),F471,"")</f>
      </c>
      <c r="P471" s="13">
        <f>IF(AND(G471="Перечисление",H471="Оплачено"),F471,"")</f>
      </c>
      <c r="Q471" s="14">
        <f>IF(AND(G471="Перечисление",H471="Не оплачено"),F471,"")</f>
      </c>
    </row>
    <row r="472">
      <c r="A472" s="9">
        <v>469</v>
      </c>
      <c r="B472" s="7"/>
      <c r="C472" s="6"/>
      <c r="D472" s="8"/>
      <c r="E472" s="8"/>
      <c r="F472" s="4"/>
      <c r="G472" s="8"/>
      <c r="H472" s="8"/>
      <c r="I472" s="8"/>
      <c r="J472" s="13">
        <f>IF(AND(G472="Карта",H472="Оплачено"),F472,"")</f>
      </c>
      <c r="K472" s="14">
        <f>IF(AND(G472="Карта",H472="Не оплачено"),F472,"")</f>
      </c>
      <c r="L472" s="13">
        <f>IF(AND(G472="Наличные",H472="Оплачено"),F472,"")</f>
      </c>
      <c r="M472" s="14">
        <f>IF(AND(G472="Наличные",H472="Не оплачено"),F472,"")</f>
      </c>
      <c r="N472" s="13">
        <f>IF(AND(G472="Терминал",H472="Оплачено"),F472,"")</f>
      </c>
      <c r="O472" s="14">
        <f>IF(AND(G472="Терминал",H472="Не оплачено"),F472,"")</f>
      </c>
      <c r="P472" s="13">
        <f>IF(AND(G472="Перечисление",H472="Оплачено"),F472,"")</f>
      </c>
      <c r="Q472" s="14">
        <f>IF(AND(G472="Перечисление",H472="Не оплачено"),F472,"")</f>
      </c>
    </row>
    <row r="473">
      <c r="A473" s="9">
        <v>470</v>
      </c>
      <c r="B473" s="7"/>
      <c r="C473" s="6"/>
      <c r="D473" s="8"/>
      <c r="E473" s="8"/>
      <c r="F473" s="4"/>
      <c r="G473" s="8"/>
      <c r="H473" s="8"/>
      <c r="I473" s="8"/>
      <c r="J473" s="13">
        <f>IF(AND(G473="Карта",H473="Оплачено"),F473,"")</f>
      </c>
      <c r="K473" s="14">
        <f>IF(AND(G473="Карта",H473="Не оплачено"),F473,"")</f>
      </c>
      <c r="L473" s="13">
        <f>IF(AND(G473="Наличные",H473="Оплачено"),F473,"")</f>
      </c>
      <c r="M473" s="14">
        <f>IF(AND(G473="Наличные",H473="Не оплачено"),F473,"")</f>
      </c>
      <c r="N473" s="13">
        <f>IF(AND(G473="Терминал",H473="Оплачено"),F473,"")</f>
      </c>
      <c r="O473" s="14">
        <f>IF(AND(G473="Терминал",H473="Не оплачено"),F473,"")</f>
      </c>
      <c r="P473" s="13">
        <f>IF(AND(G473="Перечисление",H473="Оплачено"),F473,"")</f>
      </c>
      <c r="Q473" s="14">
        <f>IF(AND(G473="Перечисление",H473="Не оплачено"),F473,"")</f>
      </c>
    </row>
    <row r="474">
      <c r="A474" s="9">
        <v>471</v>
      </c>
      <c r="B474" s="7"/>
      <c r="C474" s="6"/>
      <c r="D474" s="8"/>
      <c r="E474" s="8"/>
      <c r="F474" s="4"/>
      <c r="G474" s="8"/>
      <c r="H474" s="8"/>
      <c r="I474" s="8"/>
      <c r="J474" s="13">
        <f>IF(AND(G474="Карта",H474="Оплачено"),F474,"")</f>
      </c>
      <c r="K474" s="14">
        <f>IF(AND(G474="Карта",H474="Не оплачено"),F474,"")</f>
      </c>
      <c r="L474" s="13">
        <f>IF(AND(G474="Наличные",H474="Оплачено"),F474,"")</f>
      </c>
      <c r="M474" s="14">
        <f>IF(AND(G474="Наличные",H474="Не оплачено"),F474,"")</f>
      </c>
      <c r="N474" s="13">
        <f>IF(AND(G474="Терминал",H474="Оплачено"),F474,"")</f>
      </c>
      <c r="O474" s="14">
        <f>IF(AND(G474="Терминал",H474="Не оплачено"),F474,"")</f>
      </c>
      <c r="P474" s="13">
        <f>IF(AND(G474="Перечисление",H474="Оплачено"),F474,"")</f>
      </c>
      <c r="Q474" s="14">
        <f>IF(AND(G474="Перечисление",H474="Не оплачено"),F474,"")</f>
      </c>
    </row>
    <row r="475">
      <c r="A475" s="9">
        <v>472</v>
      </c>
      <c r="B475" s="7"/>
      <c r="C475" s="6"/>
      <c r="D475" s="8"/>
      <c r="E475" s="8"/>
      <c r="F475" s="4"/>
      <c r="G475" s="8"/>
      <c r="H475" s="8"/>
      <c r="I475" s="8"/>
      <c r="J475" s="13">
        <f>IF(AND(G475="Карта",H475="Оплачено"),F475,"")</f>
      </c>
      <c r="K475" s="14">
        <f>IF(AND(G475="Карта",H475="Не оплачено"),F475,"")</f>
      </c>
      <c r="L475" s="13">
        <f>IF(AND(G475="Наличные",H475="Оплачено"),F475,"")</f>
      </c>
      <c r="M475" s="14">
        <f>IF(AND(G475="Наличные",H475="Не оплачено"),F475,"")</f>
      </c>
      <c r="N475" s="13">
        <f>IF(AND(G475="Терминал",H475="Оплачено"),F475,"")</f>
      </c>
      <c r="O475" s="14">
        <f>IF(AND(G475="Терминал",H475="Не оплачено"),F475,"")</f>
      </c>
      <c r="P475" s="13">
        <f>IF(AND(G475="Перечисление",H475="Оплачено"),F475,"")</f>
      </c>
      <c r="Q475" s="14">
        <f>IF(AND(G475="Перечисление",H475="Не оплачено"),F475,"")</f>
      </c>
    </row>
    <row r="476">
      <c r="A476" s="9">
        <v>473</v>
      </c>
      <c r="B476" s="7"/>
      <c r="C476" s="6"/>
      <c r="D476" s="8"/>
      <c r="E476" s="8"/>
      <c r="F476" s="4"/>
      <c r="G476" s="8"/>
      <c r="H476" s="8"/>
      <c r="I476" s="8"/>
      <c r="J476" s="13">
        <f>IF(AND(G476="Карта",H476="Оплачено"),F476,"")</f>
      </c>
      <c r="K476" s="14">
        <f>IF(AND(G476="Карта",H476="Не оплачено"),F476,"")</f>
      </c>
      <c r="L476" s="13">
        <f>IF(AND(G476="Наличные",H476="Оплачено"),F476,"")</f>
      </c>
      <c r="M476" s="14">
        <f>IF(AND(G476="Наличные",H476="Не оплачено"),F476,"")</f>
      </c>
      <c r="N476" s="13">
        <f>IF(AND(G476="Терминал",H476="Оплачено"),F476,"")</f>
      </c>
      <c r="O476" s="14">
        <f>IF(AND(G476="Терминал",H476="Не оплачено"),F476,"")</f>
      </c>
      <c r="P476" s="13">
        <f>IF(AND(G476="Перечисление",H476="Оплачено"),F476,"")</f>
      </c>
      <c r="Q476" s="14">
        <f>IF(AND(G476="Перечисление",H476="Не оплачено"),F476,"")</f>
      </c>
    </row>
    <row r="477">
      <c r="A477" s="9">
        <v>474</v>
      </c>
      <c r="B477" s="7"/>
      <c r="C477" s="6"/>
      <c r="D477" s="8"/>
      <c r="E477" s="8"/>
      <c r="F477" s="4"/>
      <c r="G477" s="8"/>
      <c r="H477" s="8"/>
      <c r="I477" s="8"/>
      <c r="J477" s="13">
        <f>IF(AND(G477="Карта",H477="Оплачено"),F477,"")</f>
      </c>
      <c r="K477" s="14">
        <f>IF(AND(G477="Карта",H477="Не оплачено"),F477,"")</f>
      </c>
      <c r="L477" s="13">
        <f>IF(AND(G477="Наличные",H477="Оплачено"),F477,"")</f>
      </c>
      <c r="M477" s="14">
        <f>IF(AND(G477="Наличные",H477="Не оплачено"),F477,"")</f>
      </c>
      <c r="N477" s="13">
        <f>IF(AND(G477="Терминал",H477="Оплачено"),F477,"")</f>
      </c>
      <c r="O477" s="14">
        <f>IF(AND(G477="Терминал",H477="Не оплачено"),F477,"")</f>
      </c>
      <c r="P477" s="13">
        <f>IF(AND(G477="Перечисление",H477="Оплачено"),F477,"")</f>
      </c>
      <c r="Q477" s="14">
        <f>IF(AND(G477="Перечисление",H477="Не оплачено"),F477,"")</f>
      </c>
    </row>
    <row r="478">
      <c r="A478" s="9">
        <v>475</v>
      </c>
      <c r="B478" s="7"/>
      <c r="C478" s="6"/>
      <c r="D478" s="8"/>
      <c r="E478" s="8"/>
      <c r="F478" s="4"/>
      <c r="G478" s="8"/>
      <c r="H478" s="8"/>
      <c r="I478" s="8"/>
      <c r="J478" s="13">
        <f>IF(AND(G478="Карта",H478="Оплачено"),F478,"")</f>
      </c>
      <c r="K478" s="14">
        <f>IF(AND(G478="Карта",H478="Не оплачено"),F478,"")</f>
      </c>
      <c r="L478" s="13">
        <f>IF(AND(G478="Наличные",H478="Оплачено"),F478,"")</f>
      </c>
      <c r="M478" s="14">
        <f>IF(AND(G478="Наличные",H478="Не оплачено"),F478,"")</f>
      </c>
      <c r="N478" s="13">
        <f>IF(AND(G478="Терминал",H478="Оплачено"),F478,"")</f>
      </c>
      <c r="O478" s="14">
        <f>IF(AND(G478="Терминал",H478="Не оплачено"),F478,"")</f>
      </c>
      <c r="P478" s="13">
        <f>IF(AND(G478="Перечисление",H478="Оплачено"),F478,"")</f>
      </c>
      <c r="Q478" s="14">
        <f>IF(AND(G478="Перечисление",H478="Не оплачено"),F478,"")</f>
      </c>
    </row>
    <row r="479">
      <c r="A479" s="9">
        <v>476</v>
      </c>
      <c r="B479" s="7"/>
      <c r="C479" s="6"/>
      <c r="D479" s="8"/>
      <c r="E479" s="8"/>
      <c r="F479" s="4"/>
      <c r="G479" s="8"/>
      <c r="H479" s="8"/>
      <c r="I479" s="8"/>
      <c r="J479" s="13">
        <f>IF(AND(G479="Карта",H479="Оплачено"),F479,"")</f>
      </c>
      <c r="K479" s="14">
        <f>IF(AND(G479="Карта",H479="Не оплачено"),F479,"")</f>
      </c>
      <c r="L479" s="13">
        <f>IF(AND(G479="Наличные",H479="Оплачено"),F479,"")</f>
      </c>
      <c r="M479" s="14">
        <f>IF(AND(G479="Наличные",H479="Не оплачено"),F479,"")</f>
      </c>
      <c r="N479" s="13">
        <f>IF(AND(G479="Терминал",H479="Оплачено"),F479,"")</f>
      </c>
      <c r="O479" s="14">
        <f>IF(AND(G479="Терминал",H479="Не оплачено"),F479,"")</f>
      </c>
      <c r="P479" s="13">
        <f>IF(AND(G479="Перечисление",H479="Оплачено"),F479,"")</f>
      </c>
      <c r="Q479" s="14">
        <f>IF(AND(G479="Перечисление",H479="Не оплачено"),F479,"")</f>
      </c>
    </row>
    <row r="480">
      <c r="A480" s="9">
        <v>477</v>
      </c>
      <c r="B480" s="7"/>
      <c r="C480" s="6"/>
      <c r="D480" s="8"/>
      <c r="E480" s="8"/>
      <c r="F480" s="4"/>
      <c r="G480" s="8"/>
      <c r="H480" s="8"/>
      <c r="I480" s="8"/>
      <c r="J480" s="13">
        <f>IF(AND(G480="Карта",H480="Оплачено"),F480,"")</f>
      </c>
      <c r="K480" s="14">
        <f>IF(AND(G480="Карта",H480="Не оплачено"),F480,"")</f>
      </c>
      <c r="L480" s="13">
        <f>IF(AND(G480="Наличные",H480="Оплачено"),F480,"")</f>
      </c>
      <c r="M480" s="14">
        <f>IF(AND(G480="Наличные",H480="Не оплачено"),F480,"")</f>
      </c>
      <c r="N480" s="13">
        <f>IF(AND(G480="Терминал",H480="Оплачено"),F480,"")</f>
      </c>
      <c r="O480" s="14">
        <f>IF(AND(G480="Терминал",H480="Не оплачено"),F480,"")</f>
      </c>
      <c r="P480" s="13">
        <f>IF(AND(G480="Перечисление",H480="Оплачено"),F480,"")</f>
      </c>
      <c r="Q480" s="14">
        <f>IF(AND(G480="Перечисление",H480="Не оплачено"),F480,"")</f>
      </c>
    </row>
    <row r="481">
      <c r="A481" s="9">
        <v>478</v>
      </c>
      <c r="B481" s="7"/>
      <c r="C481" s="6"/>
      <c r="D481" s="8"/>
      <c r="E481" s="8"/>
      <c r="F481" s="4"/>
      <c r="G481" s="8"/>
      <c r="H481" s="8"/>
      <c r="I481" s="8"/>
      <c r="J481" s="13">
        <f>IF(AND(G481="Карта",H481="Оплачено"),F481,"")</f>
      </c>
      <c r="K481" s="14">
        <f>IF(AND(G481="Карта",H481="Не оплачено"),F481,"")</f>
      </c>
      <c r="L481" s="13">
        <f>IF(AND(G481="Наличные",H481="Оплачено"),F481,"")</f>
      </c>
      <c r="M481" s="14">
        <f>IF(AND(G481="Наличные",H481="Не оплачено"),F481,"")</f>
      </c>
      <c r="N481" s="13">
        <f>IF(AND(G481="Терминал",H481="Оплачено"),F481,"")</f>
      </c>
      <c r="O481" s="14">
        <f>IF(AND(G481="Терминал",H481="Не оплачено"),F481,"")</f>
      </c>
      <c r="P481" s="13">
        <f>IF(AND(G481="Перечисление",H481="Оплачено"),F481,"")</f>
      </c>
      <c r="Q481" s="14">
        <f>IF(AND(G481="Перечисление",H481="Не оплачено"),F481,"")</f>
      </c>
    </row>
    <row r="482">
      <c r="A482" s="9">
        <v>479</v>
      </c>
      <c r="B482" s="7"/>
      <c r="C482" s="6"/>
      <c r="D482" s="8"/>
      <c r="E482" s="8"/>
      <c r="F482" s="4"/>
      <c r="G482" s="8"/>
      <c r="H482" s="8"/>
      <c r="I482" s="8"/>
      <c r="J482" s="13">
        <f>IF(AND(G482="Карта",H482="Оплачено"),F482,"")</f>
      </c>
      <c r="K482" s="14">
        <f>IF(AND(G482="Карта",H482="Не оплачено"),F482,"")</f>
      </c>
      <c r="L482" s="13">
        <f>IF(AND(G482="Наличные",H482="Оплачено"),F482,"")</f>
      </c>
      <c r="M482" s="14">
        <f>IF(AND(G482="Наличные",H482="Не оплачено"),F482,"")</f>
      </c>
      <c r="N482" s="13">
        <f>IF(AND(G482="Терминал",H482="Оплачено"),F482,"")</f>
      </c>
      <c r="O482" s="14">
        <f>IF(AND(G482="Терминал",H482="Не оплачено"),F482,"")</f>
      </c>
      <c r="P482" s="13">
        <f>IF(AND(G482="Перечисление",H482="Оплачено"),F482,"")</f>
      </c>
      <c r="Q482" s="14">
        <f>IF(AND(G482="Перечисление",H482="Не оплачено"),F482,"")</f>
      </c>
    </row>
    <row r="483">
      <c r="A483" s="9">
        <v>480</v>
      </c>
      <c r="B483" s="7"/>
      <c r="C483" s="6"/>
      <c r="D483" s="8"/>
      <c r="E483" s="8"/>
      <c r="F483" s="4"/>
      <c r="G483" s="8"/>
      <c r="H483" s="8"/>
      <c r="I483" s="8"/>
      <c r="J483" s="13">
        <f>IF(AND(G483="Карта",H483="Оплачено"),F483,"")</f>
      </c>
      <c r="K483" s="14">
        <f>IF(AND(G483="Карта",H483="Не оплачено"),F483,"")</f>
      </c>
      <c r="L483" s="13">
        <f>IF(AND(G483="Наличные",H483="Оплачено"),F483,"")</f>
      </c>
      <c r="M483" s="14">
        <f>IF(AND(G483="Наличные",H483="Не оплачено"),F483,"")</f>
      </c>
      <c r="N483" s="13">
        <f>IF(AND(G483="Терминал",H483="Оплачено"),F483,"")</f>
      </c>
      <c r="O483" s="14">
        <f>IF(AND(G483="Терминал",H483="Не оплачено"),F483,"")</f>
      </c>
      <c r="P483" s="13">
        <f>IF(AND(G483="Перечисление",H483="Оплачено"),F483,"")</f>
      </c>
      <c r="Q483" s="14">
        <f>IF(AND(G483="Перечисление",H483="Не оплачено"),F483,"")</f>
      </c>
    </row>
    <row r="484">
      <c r="A484" s="9">
        <v>481</v>
      </c>
      <c r="B484" s="7"/>
      <c r="C484" s="6"/>
      <c r="D484" s="8"/>
      <c r="E484" s="8"/>
      <c r="F484" s="4"/>
      <c r="G484" s="8"/>
      <c r="H484" s="8"/>
      <c r="I484" s="8"/>
      <c r="J484" s="13">
        <f>IF(AND(G484="Карта",H484="Оплачено"),F484,"")</f>
      </c>
      <c r="K484" s="14">
        <f>IF(AND(G484="Карта",H484="Не оплачено"),F484,"")</f>
      </c>
      <c r="L484" s="13">
        <f>IF(AND(G484="Наличные",H484="Оплачено"),F484,"")</f>
      </c>
      <c r="M484" s="14">
        <f>IF(AND(G484="Наличные",H484="Не оплачено"),F484,"")</f>
      </c>
      <c r="N484" s="13">
        <f>IF(AND(G484="Терминал",H484="Оплачено"),F484,"")</f>
      </c>
      <c r="O484" s="14">
        <f>IF(AND(G484="Терминал",H484="Не оплачено"),F484,"")</f>
      </c>
      <c r="P484" s="13">
        <f>IF(AND(G484="Перечисление",H484="Оплачено"),F484,"")</f>
      </c>
      <c r="Q484" s="14">
        <f>IF(AND(G484="Перечисление",H484="Не оплачено"),F484,"")</f>
      </c>
    </row>
    <row r="485">
      <c r="A485" s="9">
        <v>482</v>
      </c>
      <c r="B485" s="7"/>
      <c r="C485" s="6"/>
      <c r="D485" s="8"/>
      <c r="E485" s="8"/>
      <c r="F485" s="4"/>
      <c r="G485" s="8"/>
      <c r="H485" s="8"/>
      <c r="I485" s="8"/>
      <c r="J485" s="13">
        <f>IF(AND(G485="Карта",H485="Оплачено"),F485,"")</f>
      </c>
      <c r="K485" s="14">
        <f>IF(AND(G485="Карта",H485="Не оплачено"),F485,"")</f>
      </c>
      <c r="L485" s="13">
        <f>IF(AND(G485="Наличные",H485="Оплачено"),F485,"")</f>
      </c>
      <c r="M485" s="14">
        <f>IF(AND(G485="Наличные",H485="Не оплачено"),F485,"")</f>
      </c>
      <c r="N485" s="13">
        <f>IF(AND(G485="Терминал",H485="Оплачено"),F485,"")</f>
      </c>
      <c r="O485" s="14">
        <f>IF(AND(G485="Терминал",H485="Не оплачено"),F485,"")</f>
      </c>
      <c r="P485" s="13">
        <f>IF(AND(G485="Перечисление",H485="Оплачено"),F485,"")</f>
      </c>
      <c r="Q485" s="14">
        <f>IF(AND(G485="Перечисление",H485="Не оплачено"),F485,"")</f>
      </c>
    </row>
    <row r="486">
      <c r="A486" s="9">
        <v>483</v>
      </c>
      <c r="B486" s="7"/>
      <c r="C486" s="6"/>
      <c r="D486" s="8"/>
      <c r="E486" s="8"/>
      <c r="F486" s="4"/>
      <c r="G486" s="8"/>
      <c r="H486" s="8"/>
      <c r="I486" s="8"/>
      <c r="J486" s="13">
        <f>IF(AND(G486="Карта",H486="Оплачено"),F486,"")</f>
      </c>
      <c r="K486" s="14">
        <f>IF(AND(G486="Карта",H486="Не оплачено"),F486,"")</f>
      </c>
      <c r="L486" s="13">
        <f>IF(AND(G486="Наличные",H486="Оплачено"),F486,"")</f>
      </c>
      <c r="M486" s="14">
        <f>IF(AND(G486="Наличные",H486="Не оплачено"),F486,"")</f>
      </c>
      <c r="N486" s="13">
        <f>IF(AND(G486="Терминал",H486="Оплачено"),F486,"")</f>
      </c>
      <c r="O486" s="14">
        <f>IF(AND(G486="Терминал",H486="Не оплачено"),F486,"")</f>
      </c>
      <c r="P486" s="13">
        <f>IF(AND(G486="Перечисление",H486="Оплачено"),F486,"")</f>
      </c>
      <c r="Q486" s="14">
        <f>IF(AND(G486="Перечисление",H486="Не оплачено"),F486,"")</f>
      </c>
    </row>
    <row r="487">
      <c r="A487" s="9">
        <v>484</v>
      </c>
      <c r="B487" s="7"/>
      <c r="C487" s="6"/>
      <c r="D487" s="8"/>
      <c r="E487" s="8"/>
      <c r="F487" s="4"/>
      <c r="G487" s="8"/>
      <c r="H487" s="8"/>
      <c r="I487" s="8"/>
      <c r="J487" s="13">
        <f>IF(AND(G487="Карта",H487="Оплачено"),F487,"")</f>
      </c>
      <c r="K487" s="14">
        <f>IF(AND(G487="Карта",H487="Не оплачено"),F487,"")</f>
      </c>
      <c r="L487" s="13">
        <f>IF(AND(G487="Наличные",H487="Оплачено"),F487,"")</f>
      </c>
      <c r="M487" s="14">
        <f>IF(AND(G487="Наличные",H487="Не оплачено"),F487,"")</f>
      </c>
      <c r="N487" s="13">
        <f>IF(AND(G487="Терминал",H487="Оплачено"),F487,"")</f>
      </c>
      <c r="O487" s="14">
        <f>IF(AND(G487="Терминал",H487="Не оплачено"),F487,"")</f>
      </c>
      <c r="P487" s="13">
        <f>IF(AND(G487="Перечисление",H487="Оплачено"),F487,"")</f>
      </c>
      <c r="Q487" s="14">
        <f>IF(AND(G487="Перечисление",H487="Не оплачено"),F487,"")</f>
      </c>
    </row>
    <row r="488">
      <c r="A488" s="9">
        <v>485</v>
      </c>
      <c r="B488" s="7"/>
      <c r="C488" s="6"/>
      <c r="D488" s="8"/>
      <c r="E488" s="8"/>
      <c r="F488" s="4"/>
      <c r="G488" s="8"/>
      <c r="H488" s="8"/>
      <c r="I488" s="8"/>
      <c r="J488" s="13">
        <f>IF(AND(G488="Карта",H488="Оплачено"),F488,"")</f>
      </c>
      <c r="K488" s="14">
        <f>IF(AND(G488="Карта",H488="Не оплачено"),F488,"")</f>
      </c>
      <c r="L488" s="13">
        <f>IF(AND(G488="Наличные",H488="Оплачено"),F488,"")</f>
      </c>
      <c r="M488" s="14">
        <f>IF(AND(G488="Наличные",H488="Не оплачено"),F488,"")</f>
      </c>
      <c r="N488" s="13">
        <f>IF(AND(G488="Терминал",H488="Оплачено"),F488,"")</f>
      </c>
      <c r="O488" s="14">
        <f>IF(AND(G488="Терминал",H488="Не оплачено"),F488,"")</f>
      </c>
      <c r="P488" s="13">
        <f>IF(AND(G488="Перечисление",H488="Оплачено"),F488,"")</f>
      </c>
      <c r="Q488" s="14">
        <f>IF(AND(G488="Перечисление",H488="Не оплачено"),F488,"")</f>
      </c>
    </row>
    <row r="489">
      <c r="A489" s="9">
        <v>486</v>
      </c>
      <c r="B489" s="7"/>
      <c r="C489" s="6"/>
      <c r="D489" s="8"/>
      <c r="E489" s="8"/>
      <c r="F489" s="4"/>
      <c r="G489" s="8"/>
      <c r="H489" s="8"/>
      <c r="I489" s="8"/>
      <c r="J489" s="13">
        <f>IF(AND(G489="Карта",H489="Оплачено"),F489,"")</f>
      </c>
      <c r="K489" s="14">
        <f>IF(AND(G489="Карта",H489="Не оплачено"),F489,"")</f>
      </c>
      <c r="L489" s="13">
        <f>IF(AND(G489="Наличные",H489="Оплачено"),F489,"")</f>
      </c>
      <c r="M489" s="14">
        <f>IF(AND(G489="Наличные",H489="Не оплачено"),F489,"")</f>
      </c>
      <c r="N489" s="13">
        <f>IF(AND(G489="Терминал",H489="Оплачено"),F489,"")</f>
      </c>
      <c r="O489" s="14">
        <f>IF(AND(G489="Терминал",H489="Не оплачено"),F489,"")</f>
      </c>
      <c r="P489" s="13">
        <f>IF(AND(G489="Перечисление",H489="Оплачено"),F489,"")</f>
      </c>
      <c r="Q489" s="14">
        <f>IF(AND(G489="Перечисление",H489="Не оплачено"),F489,"")</f>
      </c>
    </row>
    <row r="490">
      <c r="A490" s="9">
        <v>487</v>
      </c>
      <c r="B490" s="7"/>
      <c r="C490" s="6"/>
      <c r="D490" s="8"/>
      <c r="E490" s="8"/>
      <c r="F490" s="4"/>
      <c r="G490" s="8"/>
      <c r="H490" s="8"/>
      <c r="I490" s="8"/>
      <c r="J490" s="13">
        <f>IF(AND(G490="Карта",H490="Оплачено"),F490,"")</f>
      </c>
      <c r="K490" s="14">
        <f>IF(AND(G490="Карта",H490="Не оплачено"),F490,"")</f>
      </c>
      <c r="L490" s="13">
        <f>IF(AND(G490="Наличные",H490="Оплачено"),F490,"")</f>
      </c>
      <c r="M490" s="14">
        <f>IF(AND(G490="Наличные",H490="Не оплачено"),F490,"")</f>
      </c>
      <c r="N490" s="13">
        <f>IF(AND(G490="Терминал",H490="Оплачено"),F490,"")</f>
      </c>
      <c r="O490" s="14">
        <f>IF(AND(G490="Терминал",H490="Не оплачено"),F490,"")</f>
      </c>
      <c r="P490" s="13">
        <f>IF(AND(G490="Перечисление",H490="Оплачено"),F490,"")</f>
      </c>
      <c r="Q490" s="14">
        <f>IF(AND(G490="Перечисление",H490="Не оплачено"),F490,"")</f>
      </c>
    </row>
    <row r="491">
      <c r="A491" s="9">
        <v>488</v>
      </c>
      <c r="B491" s="7"/>
      <c r="C491" s="6"/>
      <c r="D491" s="8"/>
      <c r="E491" s="8"/>
      <c r="F491" s="4"/>
      <c r="G491" s="8"/>
      <c r="H491" s="8"/>
      <c r="I491" s="8"/>
      <c r="J491" s="13">
        <f>IF(AND(G491="Карта",H491="Оплачено"),F491,"")</f>
      </c>
      <c r="K491" s="14">
        <f>IF(AND(G491="Карта",H491="Не оплачено"),F491,"")</f>
      </c>
      <c r="L491" s="13">
        <f>IF(AND(G491="Наличные",H491="Оплачено"),F491,"")</f>
      </c>
      <c r="M491" s="14">
        <f>IF(AND(G491="Наличные",H491="Не оплачено"),F491,"")</f>
      </c>
      <c r="N491" s="13">
        <f>IF(AND(G491="Терминал",H491="Оплачено"),F491,"")</f>
      </c>
      <c r="O491" s="14">
        <f>IF(AND(G491="Терминал",H491="Не оплачено"),F491,"")</f>
      </c>
      <c r="P491" s="13">
        <f>IF(AND(G491="Перечисление",H491="Оплачено"),F491,"")</f>
      </c>
      <c r="Q491" s="14">
        <f>IF(AND(G491="Перечисление",H491="Не оплачено"),F491,"")</f>
      </c>
    </row>
    <row r="492">
      <c r="A492" s="9">
        <v>489</v>
      </c>
      <c r="B492" s="7"/>
      <c r="C492" s="6"/>
      <c r="D492" s="8"/>
      <c r="E492" s="8"/>
      <c r="F492" s="4"/>
      <c r="G492" s="8"/>
      <c r="H492" s="8"/>
      <c r="I492" s="8"/>
      <c r="J492" s="13">
        <f>IF(AND(G492="Карта",H492="Оплачено"),F492,"")</f>
      </c>
      <c r="K492" s="14">
        <f>IF(AND(G492="Карта",H492="Не оплачено"),F492,"")</f>
      </c>
      <c r="L492" s="13">
        <f>IF(AND(G492="Наличные",H492="Оплачено"),F492,"")</f>
      </c>
      <c r="M492" s="14">
        <f>IF(AND(G492="Наличные",H492="Не оплачено"),F492,"")</f>
      </c>
      <c r="N492" s="13">
        <f>IF(AND(G492="Терминал",H492="Оплачено"),F492,"")</f>
      </c>
      <c r="O492" s="14">
        <f>IF(AND(G492="Терминал",H492="Не оплачено"),F492,"")</f>
      </c>
      <c r="P492" s="13">
        <f>IF(AND(G492="Перечисление",H492="Оплачено"),F492,"")</f>
      </c>
      <c r="Q492" s="14">
        <f>IF(AND(G492="Перечисление",H492="Не оплачено"),F492,"")</f>
      </c>
    </row>
    <row r="493">
      <c r="A493" s="9">
        <v>490</v>
      </c>
      <c r="B493" s="7"/>
      <c r="C493" s="6"/>
      <c r="D493" s="8"/>
      <c r="E493" s="8"/>
      <c r="F493" s="4"/>
      <c r="G493" s="8"/>
      <c r="H493" s="8"/>
      <c r="I493" s="8"/>
      <c r="J493" s="13">
        <f>IF(AND(G493="Карта",H493="Оплачено"),F493,"")</f>
      </c>
      <c r="K493" s="14">
        <f>IF(AND(G493="Карта",H493="Не оплачено"),F493,"")</f>
      </c>
      <c r="L493" s="13">
        <f>IF(AND(G493="Наличные",H493="Оплачено"),F493,"")</f>
      </c>
      <c r="M493" s="14">
        <f>IF(AND(G493="Наличные",H493="Не оплачено"),F493,"")</f>
      </c>
      <c r="N493" s="13">
        <f>IF(AND(G493="Терминал",H493="Оплачено"),F493,"")</f>
      </c>
      <c r="O493" s="14">
        <f>IF(AND(G493="Терминал",H493="Не оплачено"),F493,"")</f>
      </c>
      <c r="P493" s="13">
        <f>IF(AND(G493="Перечисление",H493="Оплачено"),F493,"")</f>
      </c>
      <c r="Q493" s="14">
        <f>IF(AND(G493="Перечисление",H493="Не оплачено"),F493,"")</f>
      </c>
    </row>
    <row r="494">
      <c r="A494" s="9">
        <v>491</v>
      </c>
      <c r="B494" s="7"/>
      <c r="C494" s="6"/>
      <c r="D494" s="8"/>
      <c r="E494" s="8"/>
      <c r="F494" s="4"/>
      <c r="G494" s="8"/>
      <c r="H494" s="8"/>
      <c r="I494" s="8"/>
      <c r="J494" s="13">
        <f>IF(AND(G494="Карта",H494="Оплачено"),F494,"")</f>
      </c>
      <c r="K494" s="14">
        <f>IF(AND(G494="Карта",H494="Не оплачено"),F494,"")</f>
      </c>
      <c r="L494" s="13">
        <f>IF(AND(G494="Наличные",H494="Оплачено"),F494,"")</f>
      </c>
      <c r="M494" s="14">
        <f>IF(AND(G494="Наличные",H494="Не оплачено"),F494,"")</f>
      </c>
      <c r="N494" s="13">
        <f>IF(AND(G494="Терминал",H494="Оплачено"),F494,"")</f>
      </c>
      <c r="O494" s="14">
        <f>IF(AND(G494="Терминал",H494="Не оплачено"),F494,"")</f>
      </c>
      <c r="P494" s="13">
        <f>IF(AND(G494="Перечисление",H494="Оплачено"),F494,"")</f>
      </c>
      <c r="Q494" s="14">
        <f>IF(AND(G494="Перечисление",H494="Не оплачено"),F494,"")</f>
      </c>
    </row>
    <row r="495">
      <c r="A495" s="9">
        <v>492</v>
      </c>
      <c r="B495" s="7"/>
      <c r="C495" s="6"/>
      <c r="D495" s="8"/>
      <c r="E495" s="8"/>
      <c r="F495" s="4"/>
      <c r="G495" s="8"/>
      <c r="H495" s="8"/>
      <c r="I495" s="8"/>
      <c r="J495" s="13">
        <f>IF(AND(G495="Карта",H495="Оплачено"),F495,"")</f>
      </c>
      <c r="K495" s="14">
        <f>IF(AND(G495="Карта",H495="Не оплачено"),F495,"")</f>
      </c>
      <c r="L495" s="13">
        <f>IF(AND(G495="Наличные",H495="Оплачено"),F495,"")</f>
      </c>
      <c r="M495" s="14">
        <f>IF(AND(G495="Наличные",H495="Не оплачено"),F495,"")</f>
      </c>
      <c r="N495" s="13">
        <f>IF(AND(G495="Терминал",H495="Оплачено"),F495,"")</f>
      </c>
      <c r="O495" s="14">
        <f>IF(AND(G495="Терминал",H495="Не оплачено"),F495,"")</f>
      </c>
      <c r="P495" s="13">
        <f>IF(AND(G495="Перечисление",H495="Оплачено"),F495,"")</f>
      </c>
      <c r="Q495" s="14">
        <f>IF(AND(G495="Перечисление",H495="Не оплачено"),F495,"")</f>
      </c>
    </row>
    <row r="496">
      <c r="A496" s="9">
        <v>493</v>
      </c>
      <c r="B496" s="7"/>
      <c r="C496" s="6"/>
      <c r="D496" s="8"/>
      <c r="E496" s="8"/>
      <c r="F496" s="4"/>
      <c r="G496" s="8"/>
      <c r="H496" s="8"/>
      <c r="I496" s="8"/>
      <c r="J496" s="13">
        <f>IF(AND(G496="Карта",H496="Оплачено"),F496,"")</f>
      </c>
      <c r="K496" s="14">
        <f>IF(AND(G496="Карта",H496="Не оплачено"),F496,"")</f>
      </c>
      <c r="L496" s="13">
        <f>IF(AND(G496="Наличные",H496="Оплачено"),F496,"")</f>
      </c>
      <c r="M496" s="14">
        <f>IF(AND(G496="Наличные",H496="Не оплачено"),F496,"")</f>
      </c>
      <c r="N496" s="13">
        <f>IF(AND(G496="Терминал",H496="Оплачено"),F496,"")</f>
      </c>
      <c r="O496" s="14">
        <f>IF(AND(G496="Терминал",H496="Не оплачено"),F496,"")</f>
      </c>
      <c r="P496" s="13">
        <f>IF(AND(G496="Перечисление",H496="Оплачено"),F496,"")</f>
      </c>
      <c r="Q496" s="14">
        <f>IF(AND(G496="Перечисление",H496="Не оплачено"),F496,"")</f>
      </c>
    </row>
    <row r="497">
      <c r="A497" s="9">
        <v>494</v>
      </c>
      <c r="B497" s="7"/>
      <c r="C497" s="6"/>
      <c r="D497" s="8"/>
      <c r="E497" s="8"/>
      <c r="F497" s="4"/>
      <c r="G497" s="8"/>
      <c r="H497" s="8"/>
      <c r="I497" s="8"/>
      <c r="J497" s="13">
        <f>IF(AND(G497="Карта",H497="Оплачено"),F497,"")</f>
      </c>
      <c r="K497" s="14">
        <f>IF(AND(G497="Карта",H497="Не оплачено"),F497,"")</f>
      </c>
      <c r="L497" s="13">
        <f>IF(AND(G497="Наличные",H497="Оплачено"),F497,"")</f>
      </c>
      <c r="M497" s="14">
        <f>IF(AND(G497="Наличные",H497="Не оплачено"),F497,"")</f>
      </c>
      <c r="N497" s="13">
        <f>IF(AND(G497="Терминал",H497="Оплачено"),F497,"")</f>
      </c>
      <c r="O497" s="14">
        <f>IF(AND(G497="Терминал",H497="Не оплачено"),F497,"")</f>
      </c>
      <c r="P497" s="13">
        <f>IF(AND(G497="Перечисление",H497="Оплачено"),F497,"")</f>
      </c>
      <c r="Q497" s="14">
        <f>IF(AND(G497="Перечисление",H497="Не оплачено"),F497,"")</f>
      </c>
    </row>
    <row r="498">
      <c r="A498" s="9">
        <v>495</v>
      </c>
      <c r="B498" s="7"/>
      <c r="C498" s="6"/>
      <c r="D498" s="8"/>
      <c r="E498" s="8"/>
      <c r="F498" s="4"/>
      <c r="G498" s="8"/>
      <c r="H498" s="8"/>
      <c r="I498" s="8"/>
      <c r="J498" s="13">
        <f>IF(AND(G498="Карта",H498="Оплачено"),F498,"")</f>
      </c>
      <c r="K498" s="14">
        <f>IF(AND(G498="Карта",H498="Не оплачено"),F498,"")</f>
      </c>
      <c r="L498" s="13">
        <f>IF(AND(G498="Наличные",H498="Оплачено"),F498,"")</f>
      </c>
      <c r="M498" s="14">
        <f>IF(AND(G498="Наличные",H498="Не оплачено"),F498,"")</f>
      </c>
      <c r="N498" s="13">
        <f>IF(AND(G498="Терминал",H498="Оплачено"),F498,"")</f>
      </c>
      <c r="O498" s="14">
        <f>IF(AND(G498="Терминал",H498="Не оплачено"),F498,"")</f>
      </c>
      <c r="P498" s="13">
        <f>IF(AND(G498="Перечисление",H498="Оплачено"),F498,"")</f>
      </c>
      <c r="Q498" s="14">
        <f>IF(AND(G498="Перечисление",H498="Не оплачено"),F498,"")</f>
      </c>
    </row>
    <row r="499">
      <c r="A499" s="9">
        <v>496</v>
      </c>
      <c r="B499" s="7"/>
      <c r="C499" s="6"/>
      <c r="D499" s="8"/>
      <c r="E499" s="8"/>
      <c r="F499" s="4"/>
      <c r="G499" s="8"/>
      <c r="H499" s="8"/>
      <c r="I499" s="8"/>
      <c r="J499" s="13">
        <f>IF(AND(G499="Карта",H499="Оплачено"),F499,"")</f>
      </c>
      <c r="K499" s="14">
        <f>IF(AND(G499="Карта",H499="Не оплачено"),F499,"")</f>
      </c>
      <c r="L499" s="13">
        <f>IF(AND(G499="Наличные",H499="Оплачено"),F499,"")</f>
      </c>
      <c r="M499" s="14">
        <f>IF(AND(G499="Наличные",H499="Не оплачено"),F499,"")</f>
      </c>
      <c r="N499" s="13">
        <f>IF(AND(G499="Терминал",H499="Оплачено"),F499,"")</f>
      </c>
      <c r="O499" s="14">
        <f>IF(AND(G499="Терминал",H499="Не оплачено"),F499,"")</f>
      </c>
      <c r="P499" s="13">
        <f>IF(AND(G499="Перечисление",H499="Оплачено"),F499,"")</f>
      </c>
      <c r="Q499" s="14">
        <f>IF(AND(G499="Перечисление",H499="Не оплачено"),F499,"")</f>
      </c>
    </row>
    <row r="500">
      <c r="A500" s="9">
        <v>497</v>
      </c>
      <c r="B500" s="7"/>
      <c r="C500" s="6"/>
      <c r="D500" s="8"/>
      <c r="E500" s="8"/>
      <c r="F500" s="4"/>
      <c r="G500" s="8"/>
      <c r="H500" s="8"/>
      <c r="I500" s="8"/>
      <c r="J500" s="13">
        <f>IF(AND(G500="Карта",H500="Оплачено"),F500,"")</f>
      </c>
      <c r="K500" s="14">
        <f>IF(AND(G500="Карта",H500="Не оплачено"),F500,"")</f>
      </c>
      <c r="L500" s="13">
        <f>IF(AND(G500="Наличные",H500="Оплачено"),F500,"")</f>
      </c>
      <c r="M500" s="14">
        <f>IF(AND(G500="Наличные",H500="Не оплачено"),F500,"")</f>
      </c>
      <c r="N500" s="13">
        <f>IF(AND(G500="Терминал",H500="Оплачено"),F500,"")</f>
      </c>
      <c r="O500" s="14">
        <f>IF(AND(G500="Терминал",H500="Не оплачено"),F500,"")</f>
      </c>
      <c r="P500" s="13">
        <f>IF(AND(G500="Перечисление",H500="Оплачено"),F500,"")</f>
      </c>
      <c r="Q500" s="14">
        <f>IF(AND(G500="Перечисление",H500="Не оплачено"),F500,"")</f>
      </c>
    </row>
    <row r="501">
      <c r="A501" s="9">
        <v>498</v>
      </c>
      <c r="B501" s="7"/>
      <c r="C501" s="6"/>
      <c r="D501" s="8"/>
      <c r="E501" s="8"/>
      <c r="F501" s="4"/>
      <c r="G501" s="8"/>
      <c r="H501" s="8"/>
      <c r="I501" s="8"/>
      <c r="J501" s="13">
        <f>IF(AND(G501="Карта",H501="Оплачено"),F501,"")</f>
      </c>
      <c r="K501" s="14">
        <f>IF(AND(G501="Карта",H501="Не оплачено"),F501,"")</f>
      </c>
      <c r="L501" s="13">
        <f>IF(AND(G501="Наличные",H501="Оплачено"),F501,"")</f>
      </c>
      <c r="M501" s="14">
        <f>IF(AND(G501="Наличные",H501="Не оплачено"),F501,"")</f>
      </c>
      <c r="N501" s="13">
        <f>IF(AND(G501="Терминал",H501="Оплачено"),F501,"")</f>
      </c>
      <c r="O501" s="14">
        <f>IF(AND(G501="Терминал",H501="Не оплачено"),F501,"")</f>
      </c>
      <c r="P501" s="13">
        <f>IF(AND(G501="Перечисление",H501="Оплачено"),F501,"")</f>
      </c>
      <c r="Q501" s="14">
        <f>IF(AND(G501="Перечисление",H501="Не оплачено"),F501,"")</f>
      </c>
    </row>
    <row r="502">
      <c r="A502" s="9">
        <v>499</v>
      </c>
      <c r="B502" s="7"/>
      <c r="C502" s="6"/>
      <c r="D502" s="8"/>
      <c r="E502" s="8"/>
      <c r="F502" s="4"/>
      <c r="G502" s="8"/>
      <c r="H502" s="8"/>
      <c r="I502" s="8"/>
      <c r="J502" s="13">
        <f>IF(AND(G502="Карта",H502="Оплачено"),F502,"")</f>
      </c>
      <c r="K502" s="14">
        <f>IF(AND(G502="Карта",H502="Не оплачено"),F502,"")</f>
      </c>
      <c r="L502" s="13">
        <f>IF(AND(G502="Наличные",H502="Оплачено"),F502,"")</f>
      </c>
      <c r="M502" s="14">
        <f>IF(AND(G502="Наличные",H502="Не оплачено"),F502,"")</f>
      </c>
      <c r="N502" s="13">
        <f>IF(AND(G502="Терминал",H502="Оплачено"),F502,"")</f>
      </c>
      <c r="O502" s="14">
        <f>IF(AND(G502="Терминал",H502="Не оплачено"),F502,"")</f>
      </c>
      <c r="P502" s="13">
        <f>IF(AND(G502="Перечисление",H502="Оплачено"),F502,"")</f>
      </c>
      <c r="Q502" s="14">
        <f>IF(AND(G502="Перечисление",H502="Не оплачено"),F502,"")</f>
      </c>
    </row>
    <row r="503">
      <c r="A503" s="9">
        <v>500</v>
      </c>
      <c r="B503" s="7"/>
      <c r="C503" s="6"/>
      <c r="D503" s="8"/>
      <c r="E503" s="8"/>
      <c r="F503" s="4"/>
      <c r="G503" s="8"/>
      <c r="H503" s="8"/>
      <c r="I503" s="8"/>
      <c r="J503" s="13">
        <f>IF(AND(G503="Карта",H503="Оплачено"),F503,"")</f>
      </c>
      <c r="K503" s="14">
        <f>IF(AND(G503="Карта",H503="Не оплачено"),F503,"")</f>
      </c>
      <c r="L503" s="13">
        <f>IF(AND(G503="Наличные",H503="Оплачено"),F503,"")</f>
      </c>
      <c r="M503" s="14">
        <f>IF(AND(G503="Наличные",H503="Не оплачено"),F503,"")</f>
      </c>
      <c r="N503" s="13">
        <f>IF(AND(G503="Терминал",H503="Оплачено"),F503,"")</f>
      </c>
      <c r="O503" s="14">
        <f>IF(AND(G503="Терминал",H503="Не оплачено"),F503,"")</f>
      </c>
      <c r="P503" s="13">
        <f>IF(AND(G503="Перечисление",H503="Оплачено"),F503,"")</f>
      </c>
      <c r="Q503" s="14">
        <f>IF(AND(G503="Перечисление",H503="Не оплачено"),F503,"")</f>
      </c>
    </row>
    <row r="504" ht="25" customHeight="1">
      <c r="A504" s="12" t="s">
        <v>64</v>
      </c>
      <c r="F504" s="5">
        <f>SUMIF(H4:H503,"Оплачено",F4:F503)</f>
      </c>
      <c r="G504" s="0"/>
      <c r="H504" s="0"/>
      <c r="I504" s="0"/>
      <c r="J504" s="5">
        <f>IFERROR(SUM(J4:J503),0)</f>
      </c>
      <c r="K504" s="5">
        <f>IFERROR(SUM(K4:K503),0)</f>
      </c>
      <c r="L504" s="5">
        <f>IFERROR(SUM(L4:L503),0)</f>
      </c>
      <c r="M504" s="5">
        <f>IFERROR(SUM(M4:M503),0)</f>
      </c>
      <c r="N504" s="5">
        <f>IFERROR(SUM(N4:N503),0)</f>
      </c>
      <c r="O504" s="5">
        <f>IFERROR(SUM(O4:O503),0)</f>
      </c>
      <c r="P504" s="5">
        <f>IFERROR(SUM(P4:P503),0)</f>
      </c>
      <c r="Q504" s="5">
        <f>IFERROR(SUM(Q4:Q503),0)</f>
      </c>
    </row>
  </sheetData>
  <mergeCells count="6">
    <mergeCell ref="A1:Q1"/>
    <mergeCell ref="J2:K2"/>
    <mergeCell ref="L2:M2"/>
    <mergeCell ref="N2:O2"/>
    <mergeCell ref="P2:Q2"/>
    <mergeCell ref="A504:E504"/>
  </mergeCells>
  <dataValidations count="3">
    <dataValidation type="list" sqref="G4:G503" showDropDown="0" showErrorMessage="1" showInputMessage="1">
      <formula1>Справочник!$A$2:$A$5</formula1>
    </dataValidation>
    <dataValidation type="list" sqref="H4:H503" showDropDown="0" showErrorMessage="1" showInputMessage="1">
      <formula1>Справочник!$B$2:$B$3</formula1>
    </dataValidation>
    <dataValidation type="list" sqref="I4:I503" showDropDown="0" showErrorMessage="1" showInputMessage="1">
      <formula1>Справочник!$E$2:$E$5</formula1>
    </dataValidation>
  </dataValidations>
  <conditionalFormatting sqref="H4">
    <cfRule type="expression" dxfId="2" priority="1">
      <formula>H4="Оплачено"</formula>
    </cfRule>
    <cfRule type="expression" dxfId="3" priority="2">
      <formula>H4="Не оплачено"</formula>
    </cfRule>
  </conditionalFormatting>
  <conditionalFormatting sqref="I4">
    <cfRule type="expression" dxfId="4" priority="1">
      <formula>I4="Принято"</formula>
    </cfRule>
    <cfRule type="expression" dxfId="3" priority="2">
      <formula>I4="Отклонено"</formula>
    </cfRule>
    <cfRule type="expression" dxfId="5" priority="3">
      <formula>I4="Отправлено"</formula>
    </cfRule>
  </conditionalFormatting>
  <conditionalFormatting sqref="H5">
    <cfRule type="expression" dxfId="2" priority="1">
      <formula>H5="Оплачено"</formula>
    </cfRule>
    <cfRule type="expression" dxfId="3" priority="2">
      <formula>H5="Не оплачено"</formula>
    </cfRule>
  </conditionalFormatting>
  <conditionalFormatting sqref="I5">
    <cfRule type="expression" dxfId="4" priority="1">
      <formula>I5="Принято"</formula>
    </cfRule>
    <cfRule type="expression" dxfId="3" priority="2">
      <formula>I5="Отклонено"</formula>
    </cfRule>
    <cfRule type="expression" dxfId="5" priority="3">
      <formula>I5="Отправлено"</formula>
    </cfRule>
  </conditionalFormatting>
  <conditionalFormatting sqref="H6">
    <cfRule type="expression" dxfId="2" priority="1">
      <formula>H6="Оплачено"</formula>
    </cfRule>
    <cfRule type="expression" dxfId="3" priority="2">
      <formula>H6="Не оплачено"</formula>
    </cfRule>
  </conditionalFormatting>
  <conditionalFormatting sqref="I6">
    <cfRule type="expression" dxfId="4" priority="1">
      <formula>I6="Принято"</formula>
    </cfRule>
    <cfRule type="expression" dxfId="3" priority="2">
      <formula>I6="Отклонено"</formula>
    </cfRule>
    <cfRule type="expression" dxfId="5" priority="3">
      <formula>I6="Отправлено"</formula>
    </cfRule>
  </conditionalFormatting>
  <conditionalFormatting sqref="H7">
    <cfRule type="expression" dxfId="2" priority="1">
      <formula>H7="Оплачено"</formula>
    </cfRule>
    <cfRule type="expression" dxfId="3" priority="2">
      <formula>H7="Не оплачено"</formula>
    </cfRule>
  </conditionalFormatting>
  <conditionalFormatting sqref="I7">
    <cfRule type="expression" dxfId="4" priority="1">
      <formula>I7="Принято"</formula>
    </cfRule>
    <cfRule type="expression" dxfId="3" priority="2">
      <formula>I7="Отклонено"</formula>
    </cfRule>
    <cfRule type="expression" dxfId="5" priority="3">
      <formula>I7="Отправлено"</formula>
    </cfRule>
  </conditionalFormatting>
  <conditionalFormatting sqref="H8">
    <cfRule type="expression" dxfId="2" priority="1">
      <formula>H8="Оплачено"</formula>
    </cfRule>
    <cfRule type="expression" dxfId="3" priority="2">
      <formula>H8="Не оплачено"</formula>
    </cfRule>
  </conditionalFormatting>
  <conditionalFormatting sqref="I8">
    <cfRule type="expression" dxfId="4" priority="1">
      <formula>I8="Принято"</formula>
    </cfRule>
    <cfRule type="expression" dxfId="3" priority="2">
      <formula>I8="Отклонено"</formula>
    </cfRule>
    <cfRule type="expression" dxfId="5" priority="3">
      <formula>I8="Отправлено"</formula>
    </cfRule>
  </conditionalFormatting>
  <conditionalFormatting sqref="H9">
    <cfRule type="expression" dxfId="2" priority="1">
      <formula>H9="Оплачено"</formula>
    </cfRule>
    <cfRule type="expression" dxfId="3" priority="2">
      <formula>H9="Не оплачено"</formula>
    </cfRule>
  </conditionalFormatting>
  <conditionalFormatting sqref="I9">
    <cfRule type="expression" dxfId="4" priority="1">
      <formula>I9="Принято"</formula>
    </cfRule>
    <cfRule type="expression" dxfId="3" priority="2">
      <formula>I9="Отклонено"</formula>
    </cfRule>
    <cfRule type="expression" dxfId="5" priority="3">
      <formula>I9="Отправлено"</formula>
    </cfRule>
  </conditionalFormatting>
  <conditionalFormatting sqref="H10">
    <cfRule type="expression" dxfId="2" priority="1">
      <formula>H10="Оплачено"</formula>
    </cfRule>
    <cfRule type="expression" dxfId="3" priority="2">
      <formula>H10="Не оплачено"</formula>
    </cfRule>
  </conditionalFormatting>
  <conditionalFormatting sqref="I10">
    <cfRule type="expression" dxfId="4" priority="1">
      <formula>I10="Принято"</formula>
    </cfRule>
    <cfRule type="expression" dxfId="3" priority="2">
      <formula>I10="Отклонено"</formula>
    </cfRule>
    <cfRule type="expression" dxfId="5" priority="3">
      <formula>I10="Отправлено"</formula>
    </cfRule>
  </conditionalFormatting>
  <conditionalFormatting sqref="H11">
    <cfRule type="expression" dxfId="2" priority="1">
      <formula>H11="Оплачено"</formula>
    </cfRule>
    <cfRule type="expression" dxfId="3" priority="2">
      <formula>H11="Не оплачено"</formula>
    </cfRule>
  </conditionalFormatting>
  <conditionalFormatting sqref="I11">
    <cfRule type="expression" dxfId="4" priority="1">
      <formula>I11="Принято"</formula>
    </cfRule>
    <cfRule type="expression" dxfId="3" priority="2">
      <formula>I11="Отклонено"</formula>
    </cfRule>
    <cfRule type="expression" dxfId="5" priority="3">
      <formula>I11="Отправлено"</formula>
    </cfRule>
  </conditionalFormatting>
  <conditionalFormatting sqref="H12">
    <cfRule type="expression" dxfId="2" priority="1">
      <formula>H12="Оплачено"</formula>
    </cfRule>
    <cfRule type="expression" dxfId="3" priority="2">
      <formula>H12="Не оплачено"</formula>
    </cfRule>
  </conditionalFormatting>
  <conditionalFormatting sqref="I12">
    <cfRule type="expression" dxfId="4" priority="1">
      <formula>I12="Принято"</formula>
    </cfRule>
    <cfRule type="expression" dxfId="3" priority="2">
      <formula>I12="Отклонено"</formula>
    </cfRule>
    <cfRule type="expression" dxfId="5" priority="3">
      <formula>I12="Отправлено"</formula>
    </cfRule>
  </conditionalFormatting>
  <conditionalFormatting sqref="H13">
    <cfRule type="expression" dxfId="2" priority="1">
      <formula>H13="Оплачено"</formula>
    </cfRule>
    <cfRule type="expression" dxfId="3" priority="2">
      <formula>H13="Не оплачено"</formula>
    </cfRule>
  </conditionalFormatting>
  <conditionalFormatting sqref="I13">
    <cfRule type="expression" dxfId="4" priority="1">
      <formula>I13="Принято"</formula>
    </cfRule>
    <cfRule type="expression" dxfId="3" priority="2">
      <formula>I13="Отклонено"</formula>
    </cfRule>
    <cfRule type="expression" dxfId="5" priority="3">
      <formula>I13="Отправлено"</formula>
    </cfRule>
  </conditionalFormatting>
  <conditionalFormatting sqref="H14">
    <cfRule type="expression" dxfId="2" priority="1">
      <formula>H14="Оплачено"</formula>
    </cfRule>
    <cfRule type="expression" dxfId="3" priority="2">
      <formula>H14="Не оплачено"</formula>
    </cfRule>
  </conditionalFormatting>
  <conditionalFormatting sqref="I14">
    <cfRule type="expression" dxfId="4" priority="1">
      <formula>I14="Принято"</formula>
    </cfRule>
    <cfRule type="expression" dxfId="3" priority="2">
      <formula>I14="Отклонено"</formula>
    </cfRule>
    <cfRule type="expression" dxfId="5" priority="3">
      <formula>I14="Отправлено"</formula>
    </cfRule>
  </conditionalFormatting>
  <conditionalFormatting sqref="H15">
    <cfRule type="expression" dxfId="2" priority="1">
      <formula>H15="Оплачено"</formula>
    </cfRule>
    <cfRule type="expression" dxfId="3" priority="2">
      <formula>H15="Не оплачено"</formula>
    </cfRule>
  </conditionalFormatting>
  <conditionalFormatting sqref="I15">
    <cfRule type="expression" dxfId="4" priority="1">
      <formula>I15="Принято"</formula>
    </cfRule>
    <cfRule type="expression" dxfId="3" priority="2">
      <formula>I15="Отклонено"</formula>
    </cfRule>
    <cfRule type="expression" dxfId="5" priority="3">
      <formula>I15="Отправлено"</formula>
    </cfRule>
  </conditionalFormatting>
  <conditionalFormatting sqref="H16">
    <cfRule type="expression" dxfId="2" priority="1">
      <formula>H16="Оплачено"</formula>
    </cfRule>
    <cfRule type="expression" dxfId="3" priority="2">
      <formula>H16="Не оплачено"</formula>
    </cfRule>
  </conditionalFormatting>
  <conditionalFormatting sqref="I16">
    <cfRule type="expression" dxfId="4" priority="1">
      <formula>I16="Принято"</formula>
    </cfRule>
    <cfRule type="expression" dxfId="3" priority="2">
      <formula>I16="Отклонено"</formula>
    </cfRule>
    <cfRule type="expression" dxfId="5" priority="3">
      <formula>I16="Отправлено"</formula>
    </cfRule>
  </conditionalFormatting>
  <conditionalFormatting sqref="H17">
    <cfRule type="expression" dxfId="2" priority="1">
      <formula>H17="Оплачено"</formula>
    </cfRule>
    <cfRule type="expression" dxfId="3" priority="2">
      <formula>H17="Не оплачено"</formula>
    </cfRule>
  </conditionalFormatting>
  <conditionalFormatting sqref="I17">
    <cfRule type="expression" dxfId="4" priority="1">
      <formula>I17="Принято"</formula>
    </cfRule>
    <cfRule type="expression" dxfId="3" priority="2">
      <formula>I17="Отклонено"</formula>
    </cfRule>
    <cfRule type="expression" dxfId="5" priority="3">
      <formula>I17="Отправлено"</formula>
    </cfRule>
  </conditionalFormatting>
  <conditionalFormatting sqref="H18">
    <cfRule type="expression" dxfId="2" priority="1">
      <formula>H18="Оплачено"</formula>
    </cfRule>
    <cfRule type="expression" dxfId="3" priority="2">
      <formula>H18="Не оплачено"</formula>
    </cfRule>
  </conditionalFormatting>
  <conditionalFormatting sqref="I18">
    <cfRule type="expression" dxfId="4" priority="1">
      <formula>I18="Принято"</formula>
    </cfRule>
    <cfRule type="expression" dxfId="3" priority="2">
      <formula>I18="Отклонено"</formula>
    </cfRule>
    <cfRule type="expression" dxfId="5" priority="3">
      <formula>I18="Отправлено"</formula>
    </cfRule>
  </conditionalFormatting>
  <conditionalFormatting sqref="H19">
    <cfRule type="expression" dxfId="2" priority="1">
      <formula>H19="Оплачено"</formula>
    </cfRule>
    <cfRule type="expression" dxfId="3" priority="2">
      <formula>H19="Не оплачено"</formula>
    </cfRule>
  </conditionalFormatting>
  <conditionalFormatting sqref="I19">
    <cfRule type="expression" dxfId="4" priority="1">
      <formula>I19="Принято"</formula>
    </cfRule>
    <cfRule type="expression" dxfId="3" priority="2">
      <formula>I19="Отклонено"</formula>
    </cfRule>
    <cfRule type="expression" dxfId="5" priority="3">
      <formula>I19="Отправлено"</formula>
    </cfRule>
  </conditionalFormatting>
  <conditionalFormatting sqref="H20">
    <cfRule type="expression" dxfId="2" priority="1">
      <formula>H20="Оплачено"</formula>
    </cfRule>
    <cfRule type="expression" dxfId="3" priority="2">
      <formula>H20="Не оплачено"</formula>
    </cfRule>
  </conditionalFormatting>
  <conditionalFormatting sqref="I20">
    <cfRule type="expression" dxfId="4" priority="1">
      <formula>I20="Принято"</formula>
    </cfRule>
    <cfRule type="expression" dxfId="3" priority="2">
      <formula>I20="Отклонено"</formula>
    </cfRule>
    <cfRule type="expression" dxfId="5" priority="3">
      <formula>I20="Отправлено"</formula>
    </cfRule>
  </conditionalFormatting>
  <conditionalFormatting sqref="H21">
    <cfRule type="expression" dxfId="2" priority="1">
      <formula>H21="Оплачено"</formula>
    </cfRule>
    <cfRule type="expression" dxfId="3" priority="2">
      <formula>H21="Не оплачено"</formula>
    </cfRule>
  </conditionalFormatting>
  <conditionalFormatting sqref="I21">
    <cfRule type="expression" dxfId="4" priority="1">
      <formula>I21="Принято"</formula>
    </cfRule>
    <cfRule type="expression" dxfId="3" priority="2">
      <formula>I21="Отклонено"</formula>
    </cfRule>
    <cfRule type="expression" dxfId="5" priority="3">
      <formula>I21="Отправлено"</formula>
    </cfRule>
  </conditionalFormatting>
  <conditionalFormatting sqref="H22">
    <cfRule type="expression" dxfId="2" priority="1">
      <formula>H22="Оплачено"</formula>
    </cfRule>
    <cfRule type="expression" dxfId="3" priority="2">
      <formula>H22="Не оплачено"</formula>
    </cfRule>
  </conditionalFormatting>
  <conditionalFormatting sqref="I22">
    <cfRule type="expression" dxfId="4" priority="1">
      <formula>I22="Принято"</formula>
    </cfRule>
    <cfRule type="expression" dxfId="3" priority="2">
      <formula>I22="Отклонено"</formula>
    </cfRule>
    <cfRule type="expression" dxfId="5" priority="3">
      <formula>I22="Отправлено"</formula>
    </cfRule>
  </conditionalFormatting>
  <conditionalFormatting sqref="H23">
    <cfRule type="expression" dxfId="2" priority="1">
      <formula>H23="Оплачено"</formula>
    </cfRule>
    <cfRule type="expression" dxfId="3" priority="2">
      <formula>H23="Не оплачено"</formula>
    </cfRule>
  </conditionalFormatting>
  <conditionalFormatting sqref="I23">
    <cfRule type="expression" dxfId="4" priority="1">
      <formula>I23="Принято"</formula>
    </cfRule>
    <cfRule type="expression" dxfId="3" priority="2">
      <formula>I23="Отклонено"</formula>
    </cfRule>
    <cfRule type="expression" dxfId="5" priority="3">
      <formula>I23="Отправлено"</formula>
    </cfRule>
  </conditionalFormatting>
  <conditionalFormatting sqref="H24">
    <cfRule type="expression" dxfId="2" priority="1">
      <formula>H24="Оплачено"</formula>
    </cfRule>
    <cfRule type="expression" dxfId="3" priority="2">
      <formula>H24="Не оплачено"</formula>
    </cfRule>
  </conditionalFormatting>
  <conditionalFormatting sqref="I24">
    <cfRule type="expression" dxfId="4" priority="1">
      <formula>I24="Принято"</formula>
    </cfRule>
    <cfRule type="expression" dxfId="3" priority="2">
      <formula>I24="Отклонено"</formula>
    </cfRule>
    <cfRule type="expression" dxfId="5" priority="3">
      <formula>I24="Отправлено"</formula>
    </cfRule>
  </conditionalFormatting>
  <conditionalFormatting sqref="H25">
    <cfRule type="expression" dxfId="2" priority="1">
      <formula>H25="Оплачено"</formula>
    </cfRule>
    <cfRule type="expression" dxfId="3" priority="2">
      <formula>H25="Не оплачено"</formula>
    </cfRule>
  </conditionalFormatting>
  <conditionalFormatting sqref="I25">
    <cfRule type="expression" dxfId="4" priority="1">
      <formula>I25="Принято"</formula>
    </cfRule>
    <cfRule type="expression" dxfId="3" priority="2">
      <formula>I25="Отклонено"</formula>
    </cfRule>
    <cfRule type="expression" dxfId="5" priority="3">
      <formula>I25="Отправлено"</formula>
    </cfRule>
  </conditionalFormatting>
  <conditionalFormatting sqref="H26">
    <cfRule type="expression" dxfId="2" priority="1">
      <formula>H26="Оплачено"</formula>
    </cfRule>
    <cfRule type="expression" dxfId="3" priority="2">
      <formula>H26="Не оплачено"</formula>
    </cfRule>
  </conditionalFormatting>
  <conditionalFormatting sqref="I26">
    <cfRule type="expression" dxfId="4" priority="1">
      <formula>I26="Принято"</formula>
    </cfRule>
    <cfRule type="expression" dxfId="3" priority="2">
      <formula>I26="Отклонено"</formula>
    </cfRule>
    <cfRule type="expression" dxfId="5" priority="3">
      <formula>I26="Отправлено"</formula>
    </cfRule>
  </conditionalFormatting>
  <conditionalFormatting sqref="H27">
    <cfRule type="expression" dxfId="2" priority="1">
      <formula>H27="Оплачено"</formula>
    </cfRule>
    <cfRule type="expression" dxfId="3" priority="2">
      <formula>H27="Не оплачено"</formula>
    </cfRule>
  </conditionalFormatting>
  <conditionalFormatting sqref="I27">
    <cfRule type="expression" dxfId="4" priority="1">
      <formula>I27="Принято"</formula>
    </cfRule>
    <cfRule type="expression" dxfId="3" priority="2">
      <formula>I27="Отклонено"</formula>
    </cfRule>
    <cfRule type="expression" dxfId="5" priority="3">
      <formula>I27="Отправлено"</formula>
    </cfRule>
  </conditionalFormatting>
  <conditionalFormatting sqref="H28">
    <cfRule type="expression" dxfId="2" priority="1">
      <formula>H28="Оплачено"</formula>
    </cfRule>
    <cfRule type="expression" dxfId="3" priority="2">
      <formula>H28="Не оплачено"</formula>
    </cfRule>
  </conditionalFormatting>
  <conditionalFormatting sqref="I28">
    <cfRule type="expression" dxfId="4" priority="1">
      <formula>I28="Принято"</formula>
    </cfRule>
    <cfRule type="expression" dxfId="3" priority="2">
      <formula>I28="Отклонено"</formula>
    </cfRule>
    <cfRule type="expression" dxfId="5" priority="3">
      <formula>I28="Отправлено"</formula>
    </cfRule>
  </conditionalFormatting>
  <conditionalFormatting sqref="H29">
    <cfRule type="expression" dxfId="2" priority="1">
      <formula>H29="Оплачено"</formula>
    </cfRule>
    <cfRule type="expression" dxfId="3" priority="2">
      <formula>H29="Не оплачено"</formula>
    </cfRule>
  </conditionalFormatting>
  <conditionalFormatting sqref="I29">
    <cfRule type="expression" dxfId="4" priority="1">
      <formula>I29="Принято"</formula>
    </cfRule>
    <cfRule type="expression" dxfId="3" priority="2">
      <formula>I29="Отклонено"</formula>
    </cfRule>
    <cfRule type="expression" dxfId="5" priority="3">
      <formula>I29="Отправлено"</formula>
    </cfRule>
  </conditionalFormatting>
  <conditionalFormatting sqref="H30">
    <cfRule type="expression" dxfId="2" priority="1">
      <formula>H30="Оплачено"</formula>
    </cfRule>
    <cfRule type="expression" dxfId="3" priority="2">
      <formula>H30="Не оплачено"</formula>
    </cfRule>
  </conditionalFormatting>
  <conditionalFormatting sqref="I30">
    <cfRule type="expression" dxfId="4" priority="1">
      <formula>I30="Принято"</formula>
    </cfRule>
    <cfRule type="expression" dxfId="3" priority="2">
      <formula>I30="Отклонено"</formula>
    </cfRule>
    <cfRule type="expression" dxfId="5" priority="3">
      <formula>I30="Отправлено"</formula>
    </cfRule>
  </conditionalFormatting>
  <conditionalFormatting sqref="H31">
    <cfRule type="expression" dxfId="2" priority="1">
      <formula>H31="Оплачено"</formula>
    </cfRule>
    <cfRule type="expression" dxfId="3" priority="2">
      <formula>H31="Не оплачено"</formula>
    </cfRule>
  </conditionalFormatting>
  <conditionalFormatting sqref="I31">
    <cfRule type="expression" dxfId="4" priority="1">
      <formula>I31="Принято"</formula>
    </cfRule>
    <cfRule type="expression" dxfId="3" priority="2">
      <formula>I31="Отклонено"</formula>
    </cfRule>
    <cfRule type="expression" dxfId="5" priority="3">
      <formula>I31="Отправлено"</formula>
    </cfRule>
  </conditionalFormatting>
  <conditionalFormatting sqref="H32">
    <cfRule type="expression" dxfId="2" priority="1">
      <formula>H32="Оплачено"</formula>
    </cfRule>
    <cfRule type="expression" dxfId="3" priority="2">
      <formula>H32="Не оплачено"</formula>
    </cfRule>
  </conditionalFormatting>
  <conditionalFormatting sqref="I32">
    <cfRule type="expression" dxfId="4" priority="1">
      <formula>I32="Принято"</formula>
    </cfRule>
    <cfRule type="expression" dxfId="3" priority="2">
      <formula>I32="Отклонено"</formula>
    </cfRule>
    <cfRule type="expression" dxfId="5" priority="3">
      <formula>I32="Отправлено"</formula>
    </cfRule>
  </conditionalFormatting>
  <conditionalFormatting sqref="H33">
    <cfRule type="expression" dxfId="2" priority="1">
      <formula>H33="Оплачено"</formula>
    </cfRule>
    <cfRule type="expression" dxfId="3" priority="2">
      <formula>H33="Не оплачено"</formula>
    </cfRule>
  </conditionalFormatting>
  <conditionalFormatting sqref="I33">
    <cfRule type="expression" dxfId="4" priority="1">
      <formula>I33="Принято"</formula>
    </cfRule>
    <cfRule type="expression" dxfId="3" priority="2">
      <formula>I33="Отклонено"</formula>
    </cfRule>
    <cfRule type="expression" dxfId="5" priority="3">
      <formula>I33="Отправлено"</formula>
    </cfRule>
  </conditionalFormatting>
  <conditionalFormatting sqref="H34">
    <cfRule type="expression" dxfId="2" priority="1">
      <formula>H34="Оплачено"</formula>
    </cfRule>
    <cfRule type="expression" dxfId="3" priority="2">
      <formula>H34="Не оплачено"</formula>
    </cfRule>
  </conditionalFormatting>
  <conditionalFormatting sqref="I34">
    <cfRule type="expression" dxfId="4" priority="1">
      <formula>I34="Принято"</formula>
    </cfRule>
    <cfRule type="expression" dxfId="3" priority="2">
      <formula>I34="Отклонено"</formula>
    </cfRule>
    <cfRule type="expression" dxfId="5" priority="3">
      <formula>I34="Отправлено"</formula>
    </cfRule>
  </conditionalFormatting>
  <conditionalFormatting sqref="H35">
    <cfRule type="expression" dxfId="2" priority="1">
      <formula>H35="Оплачено"</formula>
    </cfRule>
    <cfRule type="expression" dxfId="3" priority="2">
      <formula>H35="Не оплачено"</formula>
    </cfRule>
  </conditionalFormatting>
  <conditionalFormatting sqref="I35">
    <cfRule type="expression" dxfId="4" priority="1">
      <formula>I35="Принято"</formula>
    </cfRule>
    <cfRule type="expression" dxfId="3" priority="2">
      <formula>I35="Отклонено"</formula>
    </cfRule>
    <cfRule type="expression" dxfId="5" priority="3">
      <formula>I35="Отправлено"</formula>
    </cfRule>
  </conditionalFormatting>
  <conditionalFormatting sqref="H36">
    <cfRule type="expression" dxfId="2" priority="1">
      <formula>H36="Оплачено"</formula>
    </cfRule>
    <cfRule type="expression" dxfId="3" priority="2">
      <formula>H36="Не оплачено"</formula>
    </cfRule>
  </conditionalFormatting>
  <conditionalFormatting sqref="I36">
    <cfRule type="expression" dxfId="4" priority="1">
      <formula>I36="Принято"</formula>
    </cfRule>
    <cfRule type="expression" dxfId="3" priority="2">
      <formula>I36="Отклонено"</formula>
    </cfRule>
    <cfRule type="expression" dxfId="5" priority="3">
      <formula>I36="Отправлено"</formula>
    </cfRule>
  </conditionalFormatting>
  <conditionalFormatting sqref="H37">
    <cfRule type="expression" dxfId="2" priority="1">
      <formula>H37="Оплачено"</formula>
    </cfRule>
    <cfRule type="expression" dxfId="3" priority="2">
      <formula>H37="Не оплачено"</formula>
    </cfRule>
  </conditionalFormatting>
  <conditionalFormatting sqref="I37">
    <cfRule type="expression" dxfId="4" priority="1">
      <formula>I37="Принято"</formula>
    </cfRule>
    <cfRule type="expression" dxfId="3" priority="2">
      <formula>I37="Отклонено"</formula>
    </cfRule>
    <cfRule type="expression" dxfId="5" priority="3">
      <formula>I37="Отправлено"</formula>
    </cfRule>
  </conditionalFormatting>
  <conditionalFormatting sqref="H38">
    <cfRule type="expression" dxfId="2" priority="1">
      <formula>H38="Оплачено"</formula>
    </cfRule>
    <cfRule type="expression" dxfId="3" priority="2">
      <formula>H38="Не оплачено"</formula>
    </cfRule>
  </conditionalFormatting>
  <conditionalFormatting sqref="I38">
    <cfRule type="expression" dxfId="4" priority="1">
      <formula>I38="Принято"</formula>
    </cfRule>
    <cfRule type="expression" dxfId="3" priority="2">
      <formula>I38="Отклонено"</formula>
    </cfRule>
    <cfRule type="expression" dxfId="5" priority="3">
      <formula>I38="Отправлено"</formula>
    </cfRule>
  </conditionalFormatting>
  <conditionalFormatting sqref="H39">
    <cfRule type="expression" dxfId="2" priority="1">
      <formula>H39="Оплачено"</formula>
    </cfRule>
    <cfRule type="expression" dxfId="3" priority="2">
      <formula>H39="Не оплачено"</formula>
    </cfRule>
  </conditionalFormatting>
  <conditionalFormatting sqref="I39">
    <cfRule type="expression" dxfId="4" priority="1">
      <formula>I39="Принято"</formula>
    </cfRule>
    <cfRule type="expression" dxfId="3" priority="2">
      <formula>I39="Отклонено"</formula>
    </cfRule>
    <cfRule type="expression" dxfId="5" priority="3">
      <formula>I39="Отправлено"</formula>
    </cfRule>
  </conditionalFormatting>
  <conditionalFormatting sqref="H40">
    <cfRule type="expression" dxfId="2" priority="1">
      <formula>H40="Оплачено"</formula>
    </cfRule>
    <cfRule type="expression" dxfId="3" priority="2">
      <formula>H40="Не оплачено"</formula>
    </cfRule>
  </conditionalFormatting>
  <conditionalFormatting sqref="I40">
    <cfRule type="expression" dxfId="4" priority="1">
      <formula>I40="Принято"</formula>
    </cfRule>
    <cfRule type="expression" dxfId="3" priority="2">
      <formula>I40="Отклонено"</formula>
    </cfRule>
    <cfRule type="expression" dxfId="5" priority="3">
      <formula>I40="Отправлено"</formula>
    </cfRule>
  </conditionalFormatting>
  <conditionalFormatting sqref="H41">
    <cfRule type="expression" dxfId="2" priority="1">
      <formula>H41="Оплачено"</formula>
    </cfRule>
    <cfRule type="expression" dxfId="3" priority="2">
      <formula>H41="Не оплачено"</formula>
    </cfRule>
  </conditionalFormatting>
  <conditionalFormatting sqref="I41">
    <cfRule type="expression" dxfId="4" priority="1">
      <formula>I41="Принято"</formula>
    </cfRule>
    <cfRule type="expression" dxfId="3" priority="2">
      <formula>I41="Отклонено"</formula>
    </cfRule>
    <cfRule type="expression" dxfId="5" priority="3">
      <formula>I41="Отправлено"</formula>
    </cfRule>
  </conditionalFormatting>
  <conditionalFormatting sqref="H42">
    <cfRule type="expression" dxfId="2" priority="1">
      <formula>H42="Оплачено"</formula>
    </cfRule>
    <cfRule type="expression" dxfId="3" priority="2">
      <formula>H42="Не оплачено"</formula>
    </cfRule>
  </conditionalFormatting>
  <conditionalFormatting sqref="I42">
    <cfRule type="expression" dxfId="4" priority="1">
      <formula>I42="Принято"</formula>
    </cfRule>
    <cfRule type="expression" dxfId="3" priority="2">
      <formula>I42="Отклонено"</formula>
    </cfRule>
    <cfRule type="expression" dxfId="5" priority="3">
      <formula>I42="Отправлено"</formula>
    </cfRule>
  </conditionalFormatting>
  <conditionalFormatting sqref="H43">
    <cfRule type="expression" dxfId="2" priority="1">
      <formula>H43="Оплачено"</formula>
    </cfRule>
    <cfRule type="expression" dxfId="3" priority="2">
      <formula>H43="Не оплачено"</formula>
    </cfRule>
  </conditionalFormatting>
  <conditionalFormatting sqref="I43">
    <cfRule type="expression" dxfId="4" priority="1">
      <formula>I43="Принято"</formula>
    </cfRule>
    <cfRule type="expression" dxfId="3" priority="2">
      <formula>I43="Отклонено"</formula>
    </cfRule>
    <cfRule type="expression" dxfId="5" priority="3">
      <formula>I43="Отправлено"</formula>
    </cfRule>
  </conditionalFormatting>
  <conditionalFormatting sqref="H44">
    <cfRule type="expression" dxfId="2" priority="1">
      <formula>H44="Оплачено"</formula>
    </cfRule>
    <cfRule type="expression" dxfId="3" priority="2">
      <formula>H44="Не оплачено"</formula>
    </cfRule>
  </conditionalFormatting>
  <conditionalFormatting sqref="I44">
    <cfRule type="expression" dxfId="4" priority="1">
      <formula>I44="Принято"</formula>
    </cfRule>
    <cfRule type="expression" dxfId="3" priority="2">
      <formula>I44="Отклонено"</formula>
    </cfRule>
    <cfRule type="expression" dxfId="5" priority="3">
      <formula>I44="Отправлено"</formula>
    </cfRule>
  </conditionalFormatting>
  <conditionalFormatting sqref="H45">
    <cfRule type="expression" dxfId="2" priority="1">
      <formula>H45="Оплачено"</formula>
    </cfRule>
    <cfRule type="expression" dxfId="3" priority="2">
      <formula>H45="Не оплачено"</formula>
    </cfRule>
  </conditionalFormatting>
  <conditionalFormatting sqref="I45">
    <cfRule type="expression" dxfId="4" priority="1">
      <formula>I45="Принято"</formula>
    </cfRule>
    <cfRule type="expression" dxfId="3" priority="2">
      <formula>I45="Отклонено"</formula>
    </cfRule>
    <cfRule type="expression" dxfId="5" priority="3">
      <formula>I45="Отправлено"</formula>
    </cfRule>
  </conditionalFormatting>
  <conditionalFormatting sqref="H46">
    <cfRule type="expression" dxfId="2" priority="1">
      <formula>H46="Оплачено"</formula>
    </cfRule>
    <cfRule type="expression" dxfId="3" priority="2">
      <formula>H46="Не оплачено"</formula>
    </cfRule>
  </conditionalFormatting>
  <conditionalFormatting sqref="I46">
    <cfRule type="expression" dxfId="4" priority="1">
      <formula>I46="Принято"</formula>
    </cfRule>
    <cfRule type="expression" dxfId="3" priority="2">
      <formula>I46="Отклонено"</formula>
    </cfRule>
    <cfRule type="expression" dxfId="5" priority="3">
      <formula>I46="Отправлено"</formula>
    </cfRule>
  </conditionalFormatting>
  <conditionalFormatting sqref="H47">
    <cfRule type="expression" dxfId="2" priority="1">
      <formula>H47="Оплачено"</formula>
    </cfRule>
    <cfRule type="expression" dxfId="3" priority="2">
      <formula>H47="Не оплачено"</formula>
    </cfRule>
  </conditionalFormatting>
  <conditionalFormatting sqref="I47">
    <cfRule type="expression" dxfId="4" priority="1">
      <formula>I47="Принято"</formula>
    </cfRule>
    <cfRule type="expression" dxfId="3" priority="2">
      <formula>I47="Отклонено"</formula>
    </cfRule>
    <cfRule type="expression" dxfId="5" priority="3">
      <formula>I47="Отправлено"</formula>
    </cfRule>
  </conditionalFormatting>
  <conditionalFormatting sqref="H48">
    <cfRule type="expression" dxfId="2" priority="1">
      <formula>H48="Оплачено"</formula>
    </cfRule>
    <cfRule type="expression" dxfId="3" priority="2">
      <formula>H48="Не оплачено"</formula>
    </cfRule>
  </conditionalFormatting>
  <conditionalFormatting sqref="I48">
    <cfRule type="expression" dxfId="4" priority="1">
      <formula>I48="Принято"</formula>
    </cfRule>
    <cfRule type="expression" dxfId="3" priority="2">
      <formula>I48="Отклонено"</formula>
    </cfRule>
    <cfRule type="expression" dxfId="5" priority="3">
      <formula>I48="Отправлено"</formula>
    </cfRule>
  </conditionalFormatting>
  <conditionalFormatting sqref="H49">
    <cfRule type="expression" dxfId="2" priority="1">
      <formula>H49="Оплачено"</formula>
    </cfRule>
    <cfRule type="expression" dxfId="3" priority="2">
      <formula>H49="Не оплачено"</formula>
    </cfRule>
  </conditionalFormatting>
  <conditionalFormatting sqref="I49">
    <cfRule type="expression" dxfId="4" priority="1">
      <formula>I49="Принято"</formula>
    </cfRule>
    <cfRule type="expression" dxfId="3" priority="2">
      <formula>I49="Отклонено"</formula>
    </cfRule>
    <cfRule type="expression" dxfId="5" priority="3">
      <formula>I49="Отправлено"</formula>
    </cfRule>
  </conditionalFormatting>
  <conditionalFormatting sqref="H50">
    <cfRule type="expression" dxfId="2" priority="1">
      <formula>H50="Оплачено"</formula>
    </cfRule>
    <cfRule type="expression" dxfId="3" priority="2">
      <formula>H50="Не оплачено"</formula>
    </cfRule>
  </conditionalFormatting>
  <conditionalFormatting sqref="I50">
    <cfRule type="expression" dxfId="4" priority="1">
      <formula>I50="Принято"</formula>
    </cfRule>
    <cfRule type="expression" dxfId="3" priority="2">
      <formula>I50="Отклонено"</formula>
    </cfRule>
    <cfRule type="expression" dxfId="5" priority="3">
      <formula>I50="Отправлено"</formula>
    </cfRule>
  </conditionalFormatting>
  <conditionalFormatting sqref="H51">
    <cfRule type="expression" dxfId="2" priority="1">
      <formula>H51="Оплачено"</formula>
    </cfRule>
    <cfRule type="expression" dxfId="3" priority="2">
      <formula>H51="Не оплачено"</formula>
    </cfRule>
  </conditionalFormatting>
  <conditionalFormatting sqref="I51">
    <cfRule type="expression" dxfId="4" priority="1">
      <formula>I51="Принято"</formula>
    </cfRule>
    <cfRule type="expression" dxfId="3" priority="2">
      <formula>I51="Отклонено"</formula>
    </cfRule>
    <cfRule type="expression" dxfId="5" priority="3">
      <formula>I51="Отправлено"</formula>
    </cfRule>
  </conditionalFormatting>
  <conditionalFormatting sqref="H52">
    <cfRule type="expression" dxfId="2" priority="1">
      <formula>H52="Оплачено"</formula>
    </cfRule>
    <cfRule type="expression" dxfId="3" priority="2">
      <formula>H52="Не оплачено"</formula>
    </cfRule>
  </conditionalFormatting>
  <conditionalFormatting sqref="I52">
    <cfRule type="expression" dxfId="4" priority="1">
      <formula>I52="Принято"</formula>
    </cfRule>
    <cfRule type="expression" dxfId="3" priority="2">
      <formula>I52="Отклонено"</formula>
    </cfRule>
    <cfRule type="expression" dxfId="5" priority="3">
      <formula>I52="Отправлено"</formula>
    </cfRule>
  </conditionalFormatting>
  <conditionalFormatting sqref="H53">
    <cfRule type="expression" dxfId="2" priority="1">
      <formula>H53="Оплачено"</formula>
    </cfRule>
    <cfRule type="expression" dxfId="3" priority="2">
      <formula>H53="Не оплачено"</formula>
    </cfRule>
  </conditionalFormatting>
  <conditionalFormatting sqref="I53">
    <cfRule type="expression" dxfId="4" priority="1">
      <formula>I53="Принято"</formula>
    </cfRule>
    <cfRule type="expression" dxfId="3" priority="2">
      <formula>I53="Отклонено"</formula>
    </cfRule>
    <cfRule type="expression" dxfId="5" priority="3">
      <formula>I53="Отправлено"</formula>
    </cfRule>
  </conditionalFormatting>
  <conditionalFormatting sqref="H54">
    <cfRule type="expression" dxfId="2" priority="1">
      <formula>H54="Оплачено"</formula>
    </cfRule>
    <cfRule type="expression" dxfId="3" priority="2">
      <formula>H54="Не оплачено"</formula>
    </cfRule>
  </conditionalFormatting>
  <conditionalFormatting sqref="I54">
    <cfRule type="expression" dxfId="4" priority="1">
      <formula>I54="Принято"</formula>
    </cfRule>
    <cfRule type="expression" dxfId="3" priority="2">
      <formula>I54="Отклонено"</formula>
    </cfRule>
    <cfRule type="expression" dxfId="5" priority="3">
      <formula>I54="Отправлено"</formula>
    </cfRule>
  </conditionalFormatting>
  <conditionalFormatting sqref="H55">
    <cfRule type="expression" dxfId="2" priority="1">
      <formula>H55="Оплачено"</formula>
    </cfRule>
    <cfRule type="expression" dxfId="3" priority="2">
      <formula>H55="Не оплачено"</formula>
    </cfRule>
  </conditionalFormatting>
  <conditionalFormatting sqref="I55">
    <cfRule type="expression" dxfId="4" priority="1">
      <formula>I55="Принято"</formula>
    </cfRule>
    <cfRule type="expression" dxfId="3" priority="2">
      <formula>I55="Отклонено"</formula>
    </cfRule>
    <cfRule type="expression" dxfId="5" priority="3">
      <formula>I55="Отправлено"</formula>
    </cfRule>
  </conditionalFormatting>
  <conditionalFormatting sqref="H56">
    <cfRule type="expression" dxfId="2" priority="1">
      <formula>H56="Оплачено"</formula>
    </cfRule>
    <cfRule type="expression" dxfId="3" priority="2">
      <formula>H56="Не оплачено"</formula>
    </cfRule>
  </conditionalFormatting>
  <conditionalFormatting sqref="I56">
    <cfRule type="expression" dxfId="4" priority="1">
      <formula>I56="Принято"</formula>
    </cfRule>
    <cfRule type="expression" dxfId="3" priority="2">
      <formula>I56="Отклонено"</formula>
    </cfRule>
    <cfRule type="expression" dxfId="5" priority="3">
      <formula>I56="Отправлено"</formula>
    </cfRule>
  </conditionalFormatting>
  <conditionalFormatting sqref="H57">
    <cfRule type="expression" dxfId="2" priority="1">
      <formula>H57="Оплачено"</formula>
    </cfRule>
    <cfRule type="expression" dxfId="3" priority="2">
      <formula>H57="Не оплачено"</formula>
    </cfRule>
  </conditionalFormatting>
  <conditionalFormatting sqref="I57">
    <cfRule type="expression" dxfId="4" priority="1">
      <formula>I57="Принято"</formula>
    </cfRule>
    <cfRule type="expression" dxfId="3" priority="2">
      <formula>I57="Отклонено"</formula>
    </cfRule>
    <cfRule type="expression" dxfId="5" priority="3">
      <formula>I57="Отправлено"</formula>
    </cfRule>
  </conditionalFormatting>
  <conditionalFormatting sqref="H58">
    <cfRule type="expression" dxfId="2" priority="1">
      <formula>H58="Оплачено"</formula>
    </cfRule>
    <cfRule type="expression" dxfId="3" priority="2">
      <formula>H58="Не оплачено"</formula>
    </cfRule>
  </conditionalFormatting>
  <conditionalFormatting sqref="I58">
    <cfRule type="expression" dxfId="4" priority="1">
      <formula>I58="Принято"</formula>
    </cfRule>
    <cfRule type="expression" dxfId="3" priority="2">
      <formula>I58="Отклонено"</formula>
    </cfRule>
    <cfRule type="expression" dxfId="5" priority="3">
      <formula>I58="Отправлено"</formula>
    </cfRule>
  </conditionalFormatting>
  <conditionalFormatting sqref="H59">
    <cfRule type="expression" dxfId="2" priority="1">
      <formula>H59="Оплачено"</formula>
    </cfRule>
    <cfRule type="expression" dxfId="3" priority="2">
      <formula>H59="Не оплачено"</formula>
    </cfRule>
  </conditionalFormatting>
  <conditionalFormatting sqref="I59">
    <cfRule type="expression" dxfId="4" priority="1">
      <formula>I59="Принято"</formula>
    </cfRule>
    <cfRule type="expression" dxfId="3" priority="2">
      <formula>I59="Отклонено"</formula>
    </cfRule>
    <cfRule type="expression" dxfId="5" priority="3">
      <formula>I59="Отправлено"</formula>
    </cfRule>
  </conditionalFormatting>
  <conditionalFormatting sqref="H60">
    <cfRule type="expression" dxfId="2" priority="1">
      <formula>H60="Оплачено"</formula>
    </cfRule>
    <cfRule type="expression" dxfId="3" priority="2">
      <formula>H60="Не оплачено"</formula>
    </cfRule>
  </conditionalFormatting>
  <conditionalFormatting sqref="I60">
    <cfRule type="expression" dxfId="4" priority="1">
      <formula>I60="Принято"</formula>
    </cfRule>
    <cfRule type="expression" dxfId="3" priority="2">
      <formula>I60="Отклонено"</formula>
    </cfRule>
    <cfRule type="expression" dxfId="5" priority="3">
      <formula>I60="Отправлено"</formula>
    </cfRule>
  </conditionalFormatting>
  <conditionalFormatting sqref="H61">
    <cfRule type="expression" dxfId="2" priority="1">
      <formula>H61="Оплачено"</formula>
    </cfRule>
    <cfRule type="expression" dxfId="3" priority="2">
      <formula>H61="Не оплачено"</formula>
    </cfRule>
  </conditionalFormatting>
  <conditionalFormatting sqref="I61">
    <cfRule type="expression" dxfId="4" priority="1">
      <formula>I61="Принято"</formula>
    </cfRule>
    <cfRule type="expression" dxfId="3" priority="2">
      <formula>I61="Отклонено"</formula>
    </cfRule>
    <cfRule type="expression" dxfId="5" priority="3">
      <formula>I61="Отправлено"</formula>
    </cfRule>
  </conditionalFormatting>
  <conditionalFormatting sqref="H62">
    <cfRule type="expression" dxfId="2" priority="1">
      <formula>H62="Оплачено"</formula>
    </cfRule>
    <cfRule type="expression" dxfId="3" priority="2">
      <formula>H62="Не оплачено"</formula>
    </cfRule>
  </conditionalFormatting>
  <conditionalFormatting sqref="I62">
    <cfRule type="expression" dxfId="4" priority="1">
      <formula>I62="Принято"</formula>
    </cfRule>
    <cfRule type="expression" dxfId="3" priority="2">
      <formula>I62="Отклонено"</formula>
    </cfRule>
    <cfRule type="expression" dxfId="5" priority="3">
      <formula>I62="Отправлено"</formula>
    </cfRule>
  </conditionalFormatting>
  <conditionalFormatting sqref="H63">
    <cfRule type="expression" dxfId="2" priority="1">
      <formula>H63="Оплачено"</formula>
    </cfRule>
    <cfRule type="expression" dxfId="3" priority="2">
      <formula>H63="Не оплачено"</formula>
    </cfRule>
  </conditionalFormatting>
  <conditionalFormatting sqref="I63">
    <cfRule type="expression" dxfId="4" priority="1">
      <formula>I63="Принято"</formula>
    </cfRule>
    <cfRule type="expression" dxfId="3" priority="2">
      <formula>I63="Отклонено"</formula>
    </cfRule>
    <cfRule type="expression" dxfId="5" priority="3">
      <formula>I63="Отправлено"</formula>
    </cfRule>
  </conditionalFormatting>
  <conditionalFormatting sqref="H64">
    <cfRule type="expression" dxfId="2" priority="1">
      <formula>H64="Оплачено"</formula>
    </cfRule>
    <cfRule type="expression" dxfId="3" priority="2">
      <formula>H64="Не оплачено"</formula>
    </cfRule>
  </conditionalFormatting>
  <conditionalFormatting sqref="I64">
    <cfRule type="expression" dxfId="4" priority="1">
      <formula>I64="Принято"</formula>
    </cfRule>
    <cfRule type="expression" dxfId="3" priority="2">
      <formula>I64="Отклонено"</formula>
    </cfRule>
    <cfRule type="expression" dxfId="5" priority="3">
      <formula>I64="Отправлено"</formula>
    </cfRule>
  </conditionalFormatting>
  <conditionalFormatting sqref="H65">
    <cfRule type="expression" dxfId="2" priority="1">
      <formula>H65="Оплачено"</formula>
    </cfRule>
    <cfRule type="expression" dxfId="3" priority="2">
      <formula>H65="Не оплачено"</formula>
    </cfRule>
  </conditionalFormatting>
  <conditionalFormatting sqref="I65">
    <cfRule type="expression" dxfId="4" priority="1">
      <formula>I65="Принято"</formula>
    </cfRule>
    <cfRule type="expression" dxfId="3" priority="2">
      <formula>I65="Отклонено"</formula>
    </cfRule>
    <cfRule type="expression" dxfId="5" priority="3">
      <formula>I65="Отправлено"</formula>
    </cfRule>
  </conditionalFormatting>
  <conditionalFormatting sqref="H66">
    <cfRule type="expression" dxfId="2" priority="1">
      <formula>H66="Оплачено"</formula>
    </cfRule>
    <cfRule type="expression" dxfId="3" priority="2">
      <formula>H66="Не оплачено"</formula>
    </cfRule>
  </conditionalFormatting>
  <conditionalFormatting sqref="I66">
    <cfRule type="expression" dxfId="4" priority="1">
      <formula>I66="Принято"</formula>
    </cfRule>
    <cfRule type="expression" dxfId="3" priority="2">
      <formula>I66="Отклонено"</formula>
    </cfRule>
    <cfRule type="expression" dxfId="5" priority="3">
      <formula>I66="Отправлено"</formula>
    </cfRule>
  </conditionalFormatting>
  <conditionalFormatting sqref="H67">
    <cfRule type="expression" dxfId="2" priority="1">
      <formula>H67="Оплачено"</formula>
    </cfRule>
    <cfRule type="expression" dxfId="3" priority="2">
      <formula>H67="Не оплачено"</formula>
    </cfRule>
  </conditionalFormatting>
  <conditionalFormatting sqref="I67">
    <cfRule type="expression" dxfId="4" priority="1">
      <formula>I67="Принято"</formula>
    </cfRule>
    <cfRule type="expression" dxfId="3" priority="2">
      <formula>I67="Отклонено"</formula>
    </cfRule>
    <cfRule type="expression" dxfId="5" priority="3">
      <formula>I67="Отправлено"</formula>
    </cfRule>
  </conditionalFormatting>
  <conditionalFormatting sqref="H68">
    <cfRule type="expression" dxfId="2" priority="1">
      <formula>H68="Оплачено"</formula>
    </cfRule>
    <cfRule type="expression" dxfId="3" priority="2">
      <formula>H68="Не оплачено"</formula>
    </cfRule>
  </conditionalFormatting>
  <conditionalFormatting sqref="I68">
    <cfRule type="expression" dxfId="4" priority="1">
      <formula>I68="Принято"</formula>
    </cfRule>
    <cfRule type="expression" dxfId="3" priority="2">
      <formula>I68="Отклонено"</formula>
    </cfRule>
    <cfRule type="expression" dxfId="5" priority="3">
      <formula>I68="Отправлено"</formula>
    </cfRule>
  </conditionalFormatting>
  <conditionalFormatting sqref="H69">
    <cfRule type="expression" dxfId="2" priority="1">
      <formula>H69="Оплачено"</formula>
    </cfRule>
    <cfRule type="expression" dxfId="3" priority="2">
      <formula>H69="Не оплачено"</formula>
    </cfRule>
  </conditionalFormatting>
  <conditionalFormatting sqref="I69">
    <cfRule type="expression" dxfId="4" priority="1">
      <formula>I69="Принято"</formula>
    </cfRule>
    <cfRule type="expression" dxfId="3" priority="2">
      <formula>I69="Отклонено"</formula>
    </cfRule>
    <cfRule type="expression" dxfId="5" priority="3">
      <formula>I69="Отправлено"</formula>
    </cfRule>
  </conditionalFormatting>
  <conditionalFormatting sqref="H70">
    <cfRule type="expression" dxfId="2" priority="1">
      <formula>H70="Оплачено"</formula>
    </cfRule>
    <cfRule type="expression" dxfId="3" priority="2">
      <formula>H70="Не оплачено"</formula>
    </cfRule>
  </conditionalFormatting>
  <conditionalFormatting sqref="I70">
    <cfRule type="expression" dxfId="4" priority="1">
      <formula>I70="Принято"</formula>
    </cfRule>
    <cfRule type="expression" dxfId="3" priority="2">
      <formula>I70="Отклонено"</formula>
    </cfRule>
    <cfRule type="expression" dxfId="5" priority="3">
      <formula>I70="Отправлено"</formula>
    </cfRule>
  </conditionalFormatting>
  <conditionalFormatting sqref="H71">
    <cfRule type="expression" dxfId="2" priority="1">
      <formula>H71="Оплачено"</formula>
    </cfRule>
    <cfRule type="expression" dxfId="3" priority="2">
      <formula>H71="Не оплачено"</formula>
    </cfRule>
  </conditionalFormatting>
  <conditionalFormatting sqref="I71">
    <cfRule type="expression" dxfId="4" priority="1">
      <formula>I71="Принято"</formula>
    </cfRule>
    <cfRule type="expression" dxfId="3" priority="2">
      <formula>I71="Отклонено"</formula>
    </cfRule>
    <cfRule type="expression" dxfId="5" priority="3">
      <formula>I71="Отправлено"</formula>
    </cfRule>
  </conditionalFormatting>
  <conditionalFormatting sqref="H72">
    <cfRule type="expression" dxfId="2" priority="1">
      <formula>H72="Оплачено"</formula>
    </cfRule>
    <cfRule type="expression" dxfId="3" priority="2">
      <formula>H72="Не оплачено"</formula>
    </cfRule>
  </conditionalFormatting>
  <conditionalFormatting sqref="I72">
    <cfRule type="expression" dxfId="4" priority="1">
      <formula>I72="Принято"</formula>
    </cfRule>
    <cfRule type="expression" dxfId="3" priority="2">
      <formula>I72="Отклонено"</formula>
    </cfRule>
    <cfRule type="expression" dxfId="5" priority="3">
      <formula>I72="Отправлено"</formula>
    </cfRule>
  </conditionalFormatting>
  <conditionalFormatting sqref="H73">
    <cfRule type="expression" dxfId="2" priority="1">
      <formula>H73="Оплачено"</formula>
    </cfRule>
    <cfRule type="expression" dxfId="3" priority="2">
      <formula>H73="Не оплачено"</formula>
    </cfRule>
  </conditionalFormatting>
  <conditionalFormatting sqref="I73">
    <cfRule type="expression" dxfId="4" priority="1">
      <formula>I73="Принято"</formula>
    </cfRule>
    <cfRule type="expression" dxfId="3" priority="2">
      <formula>I73="Отклонено"</formula>
    </cfRule>
    <cfRule type="expression" dxfId="5" priority="3">
      <formula>I73="Отправлено"</formula>
    </cfRule>
  </conditionalFormatting>
  <conditionalFormatting sqref="H74">
    <cfRule type="expression" dxfId="2" priority="1">
      <formula>H74="Оплачено"</formula>
    </cfRule>
    <cfRule type="expression" dxfId="3" priority="2">
      <formula>H74="Не оплачено"</formula>
    </cfRule>
  </conditionalFormatting>
  <conditionalFormatting sqref="I74">
    <cfRule type="expression" dxfId="4" priority="1">
      <formula>I74="Принято"</formula>
    </cfRule>
    <cfRule type="expression" dxfId="3" priority="2">
      <formula>I74="Отклонено"</formula>
    </cfRule>
    <cfRule type="expression" dxfId="5" priority="3">
      <formula>I74="Отправлено"</formula>
    </cfRule>
  </conditionalFormatting>
  <conditionalFormatting sqref="H75">
    <cfRule type="expression" dxfId="2" priority="1">
      <formula>H75="Оплачено"</formula>
    </cfRule>
    <cfRule type="expression" dxfId="3" priority="2">
      <formula>H75="Не оплачено"</formula>
    </cfRule>
  </conditionalFormatting>
  <conditionalFormatting sqref="I75">
    <cfRule type="expression" dxfId="4" priority="1">
      <formula>I75="Принято"</formula>
    </cfRule>
    <cfRule type="expression" dxfId="3" priority="2">
      <formula>I75="Отклонено"</formula>
    </cfRule>
    <cfRule type="expression" dxfId="5" priority="3">
      <formula>I75="Отправлено"</formula>
    </cfRule>
  </conditionalFormatting>
  <conditionalFormatting sqref="H76">
    <cfRule type="expression" dxfId="2" priority="1">
      <formula>H76="Оплачено"</formula>
    </cfRule>
    <cfRule type="expression" dxfId="3" priority="2">
      <formula>H76="Не оплачено"</formula>
    </cfRule>
  </conditionalFormatting>
  <conditionalFormatting sqref="I76">
    <cfRule type="expression" dxfId="4" priority="1">
      <formula>I76="Принято"</formula>
    </cfRule>
    <cfRule type="expression" dxfId="3" priority="2">
      <formula>I76="Отклонено"</formula>
    </cfRule>
    <cfRule type="expression" dxfId="5" priority="3">
      <formula>I76="Отправлено"</formula>
    </cfRule>
  </conditionalFormatting>
  <conditionalFormatting sqref="H77">
    <cfRule type="expression" dxfId="2" priority="1">
      <formula>H77="Оплачено"</formula>
    </cfRule>
    <cfRule type="expression" dxfId="3" priority="2">
      <formula>H77="Не оплачено"</formula>
    </cfRule>
  </conditionalFormatting>
  <conditionalFormatting sqref="I77">
    <cfRule type="expression" dxfId="4" priority="1">
      <formula>I77="Принято"</formula>
    </cfRule>
    <cfRule type="expression" dxfId="3" priority="2">
      <formula>I77="Отклонено"</formula>
    </cfRule>
    <cfRule type="expression" dxfId="5" priority="3">
      <formula>I77="Отправлено"</formula>
    </cfRule>
  </conditionalFormatting>
  <conditionalFormatting sqref="H78">
    <cfRule type="expression" dxfId="2" priority="1">
      <formula>H78="Оплачено"</formula>
    </cfRule>
    <cfRule type="expression" dxfId="3" priority="2">
      <formula>H78="Не оплачено"</formula>
    </cfRule>
  </conditionalFormatting>
  <conditionalFormatting sqref="I78">
    <cfRule type="expression" dxfId="4" priority="1">
      <formula>I78="Принято"</formula>
    </cfRule>
    <cfRule type="expression" dxfId="3" priority="2">
      <formula>I78="Отклонено"</formula>
    </cfRule>
    <cfRule type="expression" dxfId="5" priority="3">
      <formula>I78="Отправлено"</formula>
    </cfRule>
  </conditionalFormatting>
  <conditionalFormatting sqref="H79">
    <cfRule type="expression" dxfId="2" priority="1">
      <formula>H79="Оплачено"</formula>
    </cfRule>
    <cfRule type="expression" dxfId="3" priority="2">
      <formula>H79="Не оплачено"</formula>
    </cfRule>
  </conditionalFormatting>
  <conditionalFormatting sqref="I79">
    <cfRule type="expression" dxfId="4" priority="1">
      <formula>I79="Принято"</formula>
    </cfRule>
    <cfRule type="expression" dxfId="3" priority="2">
      <formula>I79="Отклонено"</formula>
    </cfRule>
    <cfRule type="expression" dxfId="5" priority="3">
      <formula>I79="Отправлено"</formula>
    </cfRule>
  </conditionalFormatting>
  <conditionalFormatting sqref="H80">
    <cfRule type="expression" dxfId="2" priority="1">
      <formula>H80="Оплачено"</formula>
    </cfRule>
    <cfRule type="expression" dxfId="3" priority="2">
      <formula>H80="Не оплачено"</formula>
    </cfRule>
  </conditionalFormatting>
  <conditionalFormatting sqref="I80">
    <cfRule type="expression" dxfId="4" priority="1">
      <formula>I80="Принято"</formula>
    </cfRule>
    <cfRule type="expression" dxfId="3" priority="2">
      <formula>I80="Отклонено"</formula>
    </cfRule>
    <cfRule type="expression" dxfId="5" priority="3">
      <formula>I80="Отправлено"</formula>
    </cfRule>
  </conditionalFormatting>
  <conditionalFormatting sqref="H81">
    <cfRule type="expression" dxfId="2" priority="1">
      <formula>H81="Оплачено"</formula>
    </cfRule>
    <cfRule type="expression" dxfId="3" priority="2">
      <formula>H81="Не оплачено"</formula>
    </cfRule>
  </conditionalFormatting>
  <conditionalFormatting sqref="I81">
    <cfRule type="expression" dxfId="4" priority="1">
      <formula>I81="Принято"</formula>
    </cfRule>
    <cfRule type="expression" dxfId="3" priority="2">
      <formula>I81="Отклонено"</formula>
    </cfRule>
    <cfRule type="expression" dxfId="5" priority="3">
      <formula>I81="Отправлено"</formula>
    </cfRule>
  </conditionalFormatting>
  <conditionalFormatting sqref="H82">
    <cfRule type="expression" dxfId="2" priority="1">
      <formula>H82="Оплачено"</formula>
    </cfRule>
    <cfRule type="expression" dxfId="3" priority="2">
      <formula>H82="Не оплачено"</formula>
    </cfRule>
  </conditionalFormatting>
  <conditionalFormatting sqref="I82">
    <cfRule type="expression" dxfId="4" priority="1">
      <formula>I82="Принято"</formula>
    </cfRule>
    <cfRule type="expression" dxfId="3" priority="2">
      <formula>I82="Отклонено"</formula>
    </cfRule>
    <cfRule type="expression" dxfId="5" priority="3">
      <formula>I82="Отправлено"</formula>
    </cfRule>
  </conditionalFormatting>
  <conditionalFormatting sqref="H83">
    <cfRule type="expression" dxfId="2" priority="1">
      <formula>H83="Оплачено"</formula>
    </cfRule>
    <cfRule type="expression" dxfId="3" priority="2">
      <formula>H83="Не оплачено"</formula>
    </cfRule>
  </conditionalFormatting>
  <conditionalFormatting sqref="I83">
    <cfRule type="expression" dxfId="4" priority="1">
      <formula>I83="Принято"</formula>
    </cfRule>
    <cfRule type="expression" dxfId="3" priority="2">
      <formula>I83="Отклонено"</formula>
    </cfRule>
    <cfRule type="expression" dxfId="5" priority="3">
      <formula>I83="Отправлено"</formula>
    </cfRule>
  </conditionalFormatting>
  <conditionalFormatting sqref="H84">
    <cfRule type="expression" dxfId="2" priority="1">
      <formula>H84="Оплачено"</formula>
    </cfRule>
    <cfRule type="expression" dxfId="3" priority="2">
      <formula>H84="Не оплачено"</formula>
    </cfRule>
  </conditionalFormatting>
  <conditionalFormatting sqref="I84">
    <cfRule type="expression" dxfId="4" priority="1">
      <formula>I84="Принято"</formula>
    </cfRule>
    <cfRule type="expression" dxfId="3" priority="2">
      <formula>I84="Отклонено"</formula>
    </cfRule>
    <cfRule type="expression" dxfId="5" priority="3">
      <formula>I84="Отправлено"</formula>
    </cfRule>
  </conditionalFormatting>
  <conditionalFormatting sqref="H85">
    <cfRule type="expression" dxfId="2" priority="1">
      <formula>H85="Оплачено"</formula>
    </cfRule>
    <cfRule type="expression" dxfId="3" priority="2">
      <formula>H85="Не оплачено"</formula>
    </cfRule>
  </conditionalFormatting>
  <conditionalFormatting sqref="I85">
    <cfRule type="expression" dxfId="4" priority="1">
      <formula>I85="Принято"</formula>
    </cfRule>
    <cfRule type="expression" dxfId="3" priority="2">
      <formula>I85="Отклонено"</formula>
    </cfRule>
    <cfRule type="expression" dxfId="5" priority="3">
      <formula>I85="Отправлено"</formula>
    </cfRule>
  </conditionalFormatting>
  <conditionalFormatting sqref="H86">
    <cfRule type="expression" dxfId="2" priority="1">
      <formula>H86="Оплачено"</formula>
    </cfRule>
    <cfRule type="expression" dxfId="3" priority="2">
      <formula>H86="Не оплачено"</formula>
    </cfRule>
  </conditionalFormatting>
  <conditionalFormatting sqref="I86">
    <cfRule type="expression" dxfId="4" priority="1">
      <formula>I86="Принято"</formula>
    </cfRule>
    <cfRule type="expression" dxfId="3" priority="2">
      <formula>I86="Отклонено"</formula>
    </cfRule>
    <cfRule type="expression" dxfId="5" priority="3">
      <formula>I86="Отправлено"</formula>
    </cfRule>
  </conditionalFormatting>
  <conditionalFormatting sqref="H87">
    <cfRule type="expression" dxfId="2" priority="1">
      <formula>H87="Оплачено"</formula>
    </cfRule>
    <cfRule type="expression" dxfId="3" priority="2">
      <formula>H87="Не оплачено"</formula>
    </cfRule>
  </conditionalFormatting>
  <conditionalFormatting sqref="I87">
    <cfRule type="expression" dxfId="4" priority="1">
      <formula>I87="Принято"</formula>
    </cfRule>
    <cfRule type="expression" dxfId="3" priority="2">
      <formula>I87="Отклонено"</formula>
    </cfRule>
    <cfRule type="expression" dxfId="5" priority="3">
      <formula>I87="Отправлено"</formula>
    </cfRule>
  </conditionalFormatting>
  <conditionalFormatting sqref="H88">
    <cfRule type="expression" dxfId="2" priority="1">
      <formula>H88="Оплачено"</formula>
    </cfRule>
    <cfRule type="expression" dxfId="3" priority="2">
      <formula>H88="Не оплачено"</formula>
    </cfRule>
  </conditionalFormatting>
  <conditionalFormatting sqref="I88">
    <cfRule type="expression" dxfId="4" priority="1">
      <formula>I88="Принято"</formula>
    </cfRule>
    <cfRule type="expression" dxfId="3" priority="2">
      <formula>I88="Отклонено"</formula>
    </cfRule>
    <cfRule type="expression" dxfId="5" priority="3">
      <formula>I88="Отправлено"</formula>
    </cfRule>
  </conditionalFormatting>
  <conditionalFormatting sqref="H89">
    <cfRule type="expression" dxfId="2" priority="1">
      <formula>H89="Оплачено"</formula>
    </cfRule>
    <cfRule type="expression" dxfId="3" priority="2">
      <formula>H89="Не оплачено"</formula>
    </cfRule>
  </conditionalFormatting>
  <conditionalFormatting sqref="I89">
    <cfRule type="expression" dxfId="4" priority="1">
      <formula>I89="Принято"</formula>
    </cfRule>
    <cfRule type="expression" dxfId="3" priority="2">
      <formula>I89="Отклонено"</formula>
    </cfRule>
    <cfRule type="expression" dxfId="5" priority="3">
      <formula>I89="Отправлено"</formula>
    </cfRule>
  </conditionalFormatting>
  <conditionalFormatting sqref="H90">
    <cfRule type="expression" dxfId="2" priority="1">
      <formula>H90="Оплачено"</formula>
    </cfRule>
    <cfRule type="expression" dxfId="3" priority="2">
      <formula>H90="Не оплачено"</formula>
    </cfRule>
  </conditionalFormatting>
  <conditionalFormatting sqref="I90">
    <cfRule type="expression" dxfId="4" priority="1">
      <formula>I90="Принято"</formula>
    </cfRule>
    <cfRule type="expression" dxfId="3" priority="2">
      <formula>I90="Отклонено"</formula>
    </cfRule>
    <cfRule type="expression" dxfId="5" priority="3">
      <formula>I90="Отправлено"</formula>
    </cfRule>
  </conditionalFormatting>
  <conditionalFormatting sqref="H91">
    <cfRule type="expression" dxfId="2" priority="1">
      <formula>H91="Оплачено"</formula>
    </cfRule>
    <cfRule type="expression" dxfId="3" priority="2">
      <formula>H91="Не оплачено"</formula>
    </cfRule>
  </conditionalFormatting>
  <conditionalFormatting sqref="I91">
    <cfRule type="expression" dxfId="4" priority="1">
      <formula>I91="Принято"</formula>
    </cfRule>
    <cfRule type="expression" dxfId="3" priority="2">
      <formula>I91="Отклонено"</formula>
    </cfRule>
    <cfRule type="expression" dxfId="5" priority="3">
      <formula>I91="Отправлено"</formula>
    </cfRule>
  </conditionalFormatting>
  <conditionalFormatting sqref="H92">
    <cfRule type="expression" dxfId="2" priority="1">
      <formula>H92="Оплачено"</formula>
    </cfRule>
    <cfRule type="expression" dxfId="3" priority="2">
      <formula>H92="Не оплачено"</formula>
    </cfRule>
  </conditionalFormatting>
  <conditionalFormatting sqref="I92">
    <cfRule type="expression" dxfId="4" priority="1">
      <formula>I92="Принято"</formula>
    </cfRule>
    <cfRule type="expression" dxfId="3" priority="2">
      <formula>I92="Отклонено"</formula>
    </cfRule>
    <cfRule type="expression" dxfId="5" priority="3">
      <formula>I92="Отправлено"</formula>
    </cfRule>
  </conditionalFormatting>
  <conditionalFormatting sqref="H93">
    <cfRule type="expression" dxfId="2" priority="1">
      <formula>H93="Оплачено"</formula>
    </cfRule>
    <cfRule type="expression" dxfId="3" priority="2">
      <formula>H93="Не оплачено"</formula>
    </cfRule>
  </conditionalFormatting>
  <conditionalFormatting sqref="I93">
    <cfRule type="expression" dxfId="4" priority="1">
      <formula>I93="Принято"</formula>
    </cfRule>
    <cfRule type="expression" dxfId="3" priority="2">
      <formula>I93="Отклонено"</formula>
    </cfRule>
    <cfRule type="expression" dxfId="5" priority="3">
      <formula>I93="Отправлено"</formula>
    </cfRule>
  </conditionalFormatting>
  <conditionalFormatting sqref="H94">
    <cfRule type="expression" dxfId="2" priority="1">
      <formula>H94="Оплачено"</formula>
    </cfRule>
    <cfRule type="expression" dxfId="3" priority="2">
      <formula>H94="Не оплачено"</formula>
    </cfRule>
  </conditionalFormatting>
  <conditionalFormatting sqref="I94">
    <cfRule type="expression" dxfId="4" priority="1">
      <formula>I94="Принято"</formula>
    </cfRule>
    <cfRule type="expression" dxfId="3" priority="2">
      <formula>I94="Отклонено"</formula>
    </cfRule>
    <cfRule type="expression" dxfId="5" priority="3">
      <formula>I94="Отправлено"</formula>
    </cfRule>
  </conditionalFormatting>
  <conditionalFormatting sqref="H95">
    <cfRule type="expression" dxfId="2" priority="1">
      <formula>H95="Оплачено"</formula>
    </cfRule>
    <cfRule type="expression" dxfId="3" priority="2">
      <formula>H95="Не оплачено"</formula>
    </cfRule>
  </conditionalFormatting>
  <conditionalFormatting sqref="I95">
    <cfRule type="expression" dxfId="4" priority="1">
      <formula>I95="Принято"</formula>
    </cfRule>
    <cfRule type="expression" dxfId="3" priority="2">
      <formula>I95="Отклонено"</formula>
    </cfRule>
    <cfRule type="expression" dxfId="5" priority="3">
      <formula>I95="Отправлено"</formula>
    </cfRule>
  </conditionalFormatting>
  <conditionalFormatting sqref="H96">
    <cfRule type="expression" dxfId="2" priority="1">
      <formula>H96="Оплачено"</formula>
    </cfRule>
    <cfRule type="expression" dxfId="3" priority="2">
      <formula>H96="Не оплачено"</formula>
    </cfRule>
  </conditionalFormatting>
  <conditionalFormatting sqref="I96">
    <cfRule type="expression" dxfId="4" priority="1">
      <formula>I96="Принято"</formula>
    </cfRule>
    <cfRule type="expression" dxfId="3" priority="2">
      <formula>I96="Отклонено"</formula>
    </cfRule>
    <cfRule type="expression" dxfId="5" priority="3">
      <formula>I96="Отправлено"</formula>
    </cfRule>
  </conditionalFormatting>
  <conditionalFormatting sqref="H97">
    <cfRule type="expression" dxfId="2" priority="1">
      <formula>H97="Оплачено"</formula>
    </cfRule>
    <cfRule type="expression" dxfId="3" priority="2">
      <formula>H97="Не оплачено"</formula>
    </cfRule>
  </conditionalFormatting>
  <conditionalFormatting sqref="I97">
    <cfRule type="expression" dxfId="4" priority="1">
      <formula>I97="Принято"</formula>
    </cfRule>
    <cfRule type="expression" dxfId="3" priority="2">
      <formula>I97="Отклонено"</formula>
    </cfRule>
    <cfRule type="expression" dxfId="5" priority="3">
      <formula>I97="Отправлено"</formula>
    </cfRule>
  </conditionalFormatting>
  <conditionalFormatting sqref="H98">
    <cfRule type="expression" dxfId="2" priority="1">
      <formula>H98="Оплачено"</formula>
    </cfRule>
    <cfRule type="expression" dxfId="3" priority="2">
      <formula>H98="Не оплачено"</formula>
    </cfRule>
  </conditionalFormatting>
  <conditionalFormatting sqref="I98">
    <cfRule type="expression" dxfId="4" priority="1">
      <formula>I98="Принято"</formula>
    </cfRule>
    <cfRule type="expression" dxfId="3" priority="2">
      <formula>I98="Отклонено"</formula>
    </cfRule>
    <cfRule type="expression" dxfId="5" priority="3">
      <formula>I98="Отправлено"</formula>
    </cfRule>
  </conditionalFormatting>
  <conditionalFormatting sqref="H99">
    <cfRule type="expression" dxfId="2" priority="1">
      <formula>H99="Оплачено"</formula>
    </cfRule>
    <cfRule type="expression" dxfId="3" priority="2">
      <formula>H99="Не оплачено"</formula>
    </cfRule>
  </conditionalFormatting>
  <conditionalFormatting sqref="I99">
    <cfRule type="expression" dxfId="4" priority="1">
      <formula>I99="Принято"</formula>
    </cfRule>
    <cfRule type="expression" dxfId="3" priority="2">
      <formula>I99="Отклонено"</formula>
    </cfRule>
    <cfRule type="expression" dxfId="5" priority="3">
      <formula>I99="Отправлено"</formula>
    </cfRule>
  </conditionalFormatting>
  <conditionalFormatting sqref="H100">
    <cfRule type="expression" dxfId="2" priority="1">
      <formula>H100="Оплачено"</formula>
    </cfRule>
    <cfRule type="expression" dxfId="3" priority="2">
      <formula>H100="Не оплачено"</formula>
    </cfRule>
  </conditionalFormatting>
  <conditionalFormatting sqref="I100">
    <cfRule type="expression" dxfId="4" priority="1">
      <formula>I100="Принято"</formula>
    </cfRule>
    <cfRule type="expression" dxfId="3" priority="2">
      <formula>I100="Отклонено"</formula>
    </cfRule>
    <cfRule type="expression" dxfId="5" priority="3">
      <formula>I100="Отправлено"</formula>
    </cfRule>
  </conditionalFormatting>
  <conditionalFormatting sqref="H101">
    <cfRule type="expression" dxfId="2" priority="1">
      <formula>H101="Оплачено"</formula>
    </cfRule>
    <cfRule type="expression" dxfId="3" priority="2">
      <formula>H101="Не оплачено"</formula>
    </cfRule>
  </conditionalFormatting>
  <conditionalFormatting sqref="I101">
    <cfRule type="expression" dxfId="4" priority="1">
      <formula>I101="Принято"</formula>
    </cfRule>
    <cfRule type="expression" dxfId="3" priority="2">
      <formula>I101="Отклонено"</formula>
    </cfRule>
    <cfRule type="expression" dxfId="5" priority="3">
      <formula>I101="Отправлено"</formula>
    </cfRule>
  </conditionalFormatting>
  <conditionalFormatting sqref="H102">
    <cfRule type="expression" dxfId="2" priority="1">
      <formula>H102="Оплачено"</formula>
    </cfRule>
    <cfRule type="expression" dxfId="3" priority="2">
      <formula>H102="Не оплачено"</formula>
    </cfRule>
  </conditionalFormatting>
  <conditionalFormatting sqref="I102">
    <cfRule type="expression" dxfId="4" priority="1">
      <formula>I102="Принято"</formula>
    </cfRule>
    <cfRule type="expression" dxfId="3" priority="2">
      <formula>I102="Отклонено"</formula>
    </cfRule>
    <cfRule type="expression" dxfId="5" priority="3">
      <formula>I102="Отправлено"</formula>
    </cfRule>
  </conditionalFormatting>
  <conditionalFormatting sqref="H103">
    <cfRule type="expression" dxfId="2" priority="1">
      <formula>H103="Оплачено"</formula>
    </cfRule>
    <cfRule type="expression" dxfId="3" priority="2">
      <formula>H103="Не оплачено"</formula>
    </cfRule>
  </conditionalFormatting>
  <conditionalFormatting sqref="I103">
    <cfRule type="expression" dxfId="4" priority="1">
      <formula>I103="Принято"</formula>
    </cfRule>
    <cfRule type="expression" dxfId="3" priority="2">
      <formula>I103="Отклонено"</formula>
    </cfRule>
    <cfRule type="expression" dxfId="5" priority="3">
      <formula>I103="Отправлено"</formula>
    </cfRule>
  </conditionalFormatting>
  <conditionalFormatting sqref="H104">
    <cfRule type="expression" dxfId="2" priority="1">
      <formula>H104="Оплачено"</formula>
    </cfRule>
    <cfRule type="expression" dxfId="3" priority="2">
      <formula>H104="Не оплачено"</formula>
    </cfRule>
  </conditionalFormatting>
  <conditionalFormatting sqref="I104">
    <cfRule type="expression" dxfId="4" priority="1">
      <formula>I104="Принято"</formula>
    </cfRule>
    <cfRule type="expression" dxfId="3" priority="2">
      <formula>I104="Отклонено"</formula>
    </cfRule>
    <cfRule type="expression" dxfId="5" priority="3">
      <formula>I104="Отправлено"</formula>
    </cfRule>
  </conditionalFormatting>
  <conditionalFormatting sqref="H105">
    <cfRule type="expression" dxfId="2" priority="1">
      <formula>H105="Оплачено"</formula>
    </cfRule>
    <cfRule type="expression" dxfId="3" priority="2">
      <formula>H105="Не оплачено"</formula>
    </cfRule>
  </conditionalFormatting>
  <conditionalFormatting sqref="I105">
    <cfRule type="expression" dxfId="4" priority="1">
      <formula>I105="Принято"</formula>
    </cfRule>
    <cfRule type="expression" dxfId="3" priority="2">
      <formula>I105="Отклонено"</formula>
    </cfRule>
    <cfRule type="expression" dxfId="5" priority="3">
      <formula>I105="Отправлено"</formula>
    </cfRule>
  </conditionalFormatting>
  <conditionalFormatting sqref="H106">
    <cfRule type="expression" dxfId="2" priority="1">
      <formula>H106="Оплачено"</formula>
    </cfRule>
    <cfRule type="expression" dxfId="3" priority="2">
      <formula>H106="Не оплачено"</formula>
    </cfRule>
  </conditionalFormatting>
  <conditionalFormatting sqref="I106">
    <cfRule type="expression" dxfId="4" priority="1">
      <formula>I106="Принято"</formula>
    </cfRule>
    <cfRule type="expression" dxfId="3" priority="2">
      <formula>I106="Отклонено"</formula>
    </cfRule>
    <cfRule type="expression" dxfId="5" priority="3">
      <formula>I106="Отправлено"</formula>
    </cfRule>
  </conditionalFormatting>
  <conditionalFormatting sqref="H107">
    <cfRule type="expression" dxfId="2" priority="1">
      <formula>H107="Оплачено"</formula>
    </cfRule>
    <cfRule type="expression" dxfId="3" priority="2">
      <formula>H107="Не оплачено"</formula>
    </cfRule>
  </conditionalFormatting>
  <conditionalFormatting sqref="I107">
    <cfRule type="expression" dxfId="4" priority="1">
      <formula>I107="Принято"</formula>
    </cfRule>
    <cfRule type="expression" dxfId="3" priority="2">
      <formula>I107="Отклонено"</formula>
    </cfRule>
    <cfRule type="expression" dxfId="5" priority="3">
      <formula>I107="Отправлено"</formula>
    </cfRule>
  </conditionalFormatting>
  <conditionalFormatting sqref="H108">
    <cfRule type="expression" dxfId="2" priority="1">
      <formula>H108="Оплачено"</formula>
    </cfRule>
    <cfRule type="expression" dxfId="3" priority="2">
      <formula>H108="Не оплачено"</formula>
    </cfRule>
  </conditionalFormatting>
  <conditionalFormatting sqref="I108">
    <cfRule type="expression" dxfId="4" priority="1">
      <formula>I108="Принято"</formula>
    </cfRule>
    <cfRule type="expression" dxfId="3" priority="2">
      <formula>I108="Отклонено"</formula>
    </cfRule>
    <cfRule type="expression" dxfId="5" priority="3">
      <formula>I108="Отправлено"</formula>
    </cfRule>
  </conditionalFormatting>
  <conditionalFormatting sqref="H109">
    <cfRule type="expression" dxfId="2" priority="1">
      <formula>H109="Оплачено"</formula>
    </cfRule>
    <cfRule type="expression" dxfId="3" priority="2">
      <formula>H109="Не оплачено"</formula>
    </cfRule>
  </conditionalFormatting>
  <conditionalFormatting sqref="I109">
    <cfRule type="expression" dxfId="4" priority="1">
      <formula>I109="Принято"</formula>
    </cfRule>
    <cfRule type="expression" dxfId="3" priority="2">
      <formula>I109="Отклонено"</formula>
    </cfRule>
    <cfRule type="expression" dxfId="5" priority="3">
      <formula>I109="Отправлено"</formula>
    </cfRule>
  </conditionalFormatting>
  <conditionalFormatting sqref="H110">
    <cfRule type="expression" dxfId="2" priority="1">
      <formula>H110="Оплачено"</formula>
    </cfRule>
    <cfRule type="expression" dxfId="3" priority="2">
      <formula>H110="Не оплачено"</formula>
    </cfRule>
  </conditionalFormatting>
  <conditionalFormatting sqref="I110">
    <cfRule type="expression" dxfId="4" priority="1">
      <formula>I110="Принято"</formula>
    </cfRule>
    <cfRule type="expression" dxfId="3" priority="2">
      <formula>I110="Отклонено"</formula>
    </cfRule>
    <cfRule type="expression" dxfId="5" priority="3">
      <formula>I110="Отправлено"</formula>
    </cfRule>
  </conditionalFormatting>
  <conditionalFormatting sqref="H111">
    <cfRule type="expression" dxfId="2" priority="1">
      <formula>H111="Оплачено"</formula>
    </cfRule>
    <cfRule type="expression" dxfId="3" priority="2">
      <formula>H111="Не оплачено"</formula>
    </cfRule>
  </conditionalFormatting>
  <conditionalFormatting sqref="I111">
    <cfRule type="expression" dxfId="4" priority="1">
      <formula>I111="Принято"</formula>
    </cfRule>
    <cfRule type="expression" dxfId="3" priority="2">
      <formula>I111="Отклонено"</formula>
    </cfRule>
    <cfRule type="expression" dxfId="5" priority="3">
      <formula>I111="Отправлено"</formula>
    </cfRule>
  </conditionalFormatting>
  <conditionalFormatting sqref="H112">
    <cfRule type="expression" dxfId="2" priority="1">
      <formula>H112="Оплачено"</formula>
    </cfRule>
    <cfRule type="expression" dxfId="3" priority="2">
      <formula>H112="Не оплачено"</formula>
    </cfRule>
  </conditionalFormatting>
  <conditionalFormatting sqref="I112">
    <cfRule type="expression" dxfId="4" priority="1">
      <formula>I112="Принято"</formula>
    </cfRule>
    <cfRule type="expression" dxfId="3" priority="2">
      <formula>I112="Отклонено"</formula>
    </cfRule>
    <cfRule type="expression" dxfId="5" priority="3">
      <formula>I112="Отправлено"</formula>
    </cfRule>
  </conditionalFormatting>
  <conditionalFormatting sqref="H113">
    <cfRule type="expression" dxfId="2" priority="1">
      <formula>H113="Оплачено"</formula>
    </cfRule>
    <cfRule type="expression" dxfId="3" priority="2">
      <formula>H113="Не оплачено"</formula>
    </cfRule>
  </conditionalFormatting>
  <conditionalFormatting sqref="I113">
    <cfRule type="expression" dxfId="4" priority="1">
      <formula>I113="Принято"</formula>
    </cfRule>
    <cfRule type="expression" dxfId="3" priority="2">
      <formula>I113="Отклонено"</formula>
    </cfRule>
    <cfRule type="expression" dxfId="5" priority="3">
      <formula>I113="Отправлено"</formula>
    </cfRule>
  </conditionalFormatting>
  <conditionalFormatting sqref="H114">
    <cfRule type="expression" dxfId="2" priority="1">
      <formula>H114="Оплачено"</formula>
    </cfRule>
    <cfRule type="expression" dxfId="3" priority="2">
      <formula>H114="Не оплачено"</formula>
    </cfRule>
  </conditionalFormatting>
  <conditionalFormatting sqref="I114">
    <cfRule type="expression" dxfId="4" priority="1">
      <formula>I114="Принято"</formula>
    </cfRule>
    <cfRule type="expression" dxfId="3" priority="2">
      <formula>I114="Отклонено"</formula>
    </cfRule>
    <cfRule type="expression" dxfId="5" priority="3">
      <formula>I114="Отправлено"</formula>
    </cfRule>
  </conditionalFormatting>
  <conditionalFormatting sqref="H115">
    <cfRule type="expression" dxfId="2" priority="1">
      <formula>H115="Оплачено"</formula>
    </cfRule>
    <cfRule type="expression" dxfId="3" priority="2">
      <formula>H115="Не оплачено"</formula>
    </cfRule>
  </conditionalFormatting>
  <conditionalFormatting sqref="I115">
    <cfRule type="expression" dxfId="4" priority="1">
      <formula>I115="Принято"</formula>
    </cfRule>
    <cfRule type="expression" dxfId="3" priority="2">
      <formula>I115="Отклонено"</formula>
    </cfRule>
    <cfRule type="expression" dxfId="5" priority="3">
      <formula>I115="Отправлено"</formula>
    </cfRule>
  </conditionalFormatting>
  <conditionalFormatting sqref="H116">
    <cfRule type="expression" dxfId="2" priority="1">
      <formula>H116="Оплачено"</formula>
    </cfRule>
    <cfRule type="expression" dxfId="3" priority="2">
      <formula>H116="Не оплачено"</formula>
    </cfRule>
  </conditionalFormatting>
  <conditionalFormatting sqref="I116">
    <cfRule type="expression" dxfId="4" priority="1">
      <formula>I116="Принято"</formula>
    </cfRule>
    <cfRule type="expression" dxfId="3" priority="2">
      <formula>I116="Отклонено"</formula>
    </cfRule>
    <cfRule type="expression" dxfId="5" priority="3">
      <formula>I116="Отправлено"</formula>
    </cfRule>
  </conditionalFormatting>
  <conditionalFormatting sqref="H117">
    <cfRule type="expression" dxfId="2" priority="1">
      <formula>H117="Оплачено"</formula>
    </cfRule>
    <cfRule type="expression" dxfId="3" priority="2">
      <formula>H117="Не оплачено"</formula>
    </cfRule>
  </conditionalFormatting>
  <conditionalFormatting sqref="I117">
    <cfRule type="expression" dxfId="4" priority="1">
      <formula>I117="Принято"</formula>
    </cfRule>
    <cfRule type="expression" dxfId="3" priority="2">
      <formula>I117="Отклонено"</formula>
    </cfRule>
    <cfRule type="expression" dxfId="5" priority="3">
      <formula>I117="Отправлено"</formula>
    </cfRule>
  </conditionalFormatting>
  <conditionalFormatting sqref="H118">
    <cfRule type="expression" dxfId="2" priority="1">
      <formula>H118="Оплачено"</formula>
    </cfRule>
    <cfRule type="expression" dxfId="3" priority="2">
      <formula>H118="Не оплачено"</formula>
    </cfRule>
  </conditionalFormatting>
  <conditionalFormatting sqref="I118">
    <cfRule type="expression" dxfId="4" priority="1">
      <formula>I118="Принято"</formula>
    </cfRule>
    <cfRule type="expression" dxfId="3" priority="2">
      <formula>I118="Отклонено"</formula>
    </cfRule>
    <cfRule type="expression" dxfId="5" priority="3">
      <formula>I118="Отправлено"</formula>
    </cfRule>
  </conditionalFormatting>
  <conditionalFormatting sqref="H119">
    <cfRule type="expression" dxfId="2" priority="1">
      <formula>H119="Оплачено"</formula>
    </cfRule>
    <cfRule type="expression" dxfId="3" priority="2">
      <formula>H119="Не оплачено"</formula>
    </cfRule>
  </conditionalFormatting>
  <conditionalFormatting sqref="I119">
    <cfRule type="expression" dxfId="4" priority="1">
      <formula>I119="Принято"</formula>
    </cfRule>
    <cfRule type="expression" dxfId="3" priority="2">
      <formula>I119="Отклонено"</formula>
    </cfRule>
    <cfRule type="expression" dxfId="5" priority="3">
      <formula>I119="Отправлено"</formula>
    </cfRule>
  </conditionalFormatting>
  <conditionalFormatting sqref="H120">
    <cfRule type="expression" dxfId="2" priority="1">
      <formula>H120="Оплачено"</formula>
    </cfRule>
    <cfRule type="expression" dxfId="3" priority="2">
      <formula>H120="Не оплачено"</formula>
    </cfRule>
  </conditionalFormatting>
  <conditionalFormatting sqref="I120">
    <cfRule type="expression" dxfId="4" priority="1">
      <formula>I120="Принято"</formula>
    </cfRule>
    <cfRule type="expression" dxfId="3" priority="2">
      <formula>I120="Отклонено"</formula>
    </cfRule>
    <cfRule type="expression" dxfId="5" priority="3">
      <formula>I120="Отправлено"</formula>
    </cfRule>
  </conditionalFormatting>
  <conditionalFormatting sqref="H121">
    <cfRule type="expression" dxfId="2" priority="1">
      <formula>H121="Оплачено"</formula>
    </cfRule>
    <cfRule type="expression" dxfId="3" priority="2">
      <formula>H121="Не оплачено"</formula>
    </cfRule>
  </conditionalFormatting>
  <conditionalFormatting sqref="I121">
    <cfRule type="expression" dxfId="4" priority="1">
      <formula>I121="Принято"</formula>
    </cfRule>
    <cfRule type="expression" dxfId="3" priority="2">
      <formula>I121="Отклонено"</formula>
    </cfRule>
    <cfRule type="expression" dxfId="5" priority="3">
      <formula>I121="Отправлено"</formula>
    </cfRule>
  </conditionalFormatting>
  <conditionalFormatting sqref="H122">
    <cfRule type="expression" dxfId="2" priority="1">
      <formula>H122="Оплачено"</formula>
    </cfRule>
    <cfRule type="expression" dxfId="3" priority="2">
      <formula>H122="Не оплачено"</formula>
    </cfRule>
  </conditionalFormatting>
  <conditionalFormatting sqref="I122">
    <cfRule type="expression" dxfId="4" priority="1">
      <formula>I122="Принято"</formula>
    </cfRule>
    <cfRule type="expression" dxfId="3" priority="2">
      <formula>I122="Отклонено"</formula>
    </cfRule>
    <cfRule type="expression" dxfId="5" priority="3">
      <formula>I122="Отправлено"</formula>
    </cfRule>
  </conditionalFormatting>
  <conditionalFormatting sqref="H123">
    <cfRule type="expression" dxfId="2" priority="1">
      <formula>H123="Оплачено"</formula>
    </cfRule>
    <cfRule type="expression" dxfId="3" priority="2">
      <formula>H123="Не оплачено"</formula>
    </cfRule>
  </conditionalFormatting>
  <conditionalFormatting sqref="I123">
    <cfRule type="expression" dxfId="4" priority="1">
      <formula>I123="Принято"</formula>
    </cfRule>
    <cfRule type="expression" dxfId="3" priority="2">
      <formula>I123="Отклонено"</formula>
    </cfRule>
    <cfRule type="expression" dxfId="5" priority="3">
      <formula>I123="Отправлено"</formula>
    </cfRule>
  </conditionalFormatting>
  <conditionalFormatting sqref="H124">
    <cfRule type="expression" dxfId="2" priority="1">
      <formula>H124="Оплачено"</formula>
    </cfRule>
    <cfRule type="expression" dxfId="3" priority="2">
      <formula>H124="Не оплачено"</formula>
    </cfRule>
  </conditionalFormatting>
  <conditionalFormatting sqref="I124">
    <cfRule type="expression" dxfId="4" priority="1">
      <formula>I124="Принято"</formula>
    </cfRule>
    <cfRule type="expression" dxfId="3" priority="2">
      <formula>I124="Отклонено"</formula>
    </cfRule>
    <cfRule type="expression" dxfId="5" priority="3">
      <formula>I124="Отправлено"</formula>
    </cfRule>
  </conditionalFormatting>
  <conditionalFormatting sqref="H125">
    <cfRule type="expression" dxfId="2" priority="1">
      <formula>H125="Оплачено"</formula>
    </cfRule>
    <cfRule type="expression" dxfId="3" priority="2">
      <formula>H125="Не оплачено"</formula>
    </cfRule>
  </conditionalFormatting>
  <conditionalFormatting sqref="I125">
    <cfRule type="expression" dxfId="4" priority="1">
      <formula>I125="Принято"</formula>
    </cfRule>
    <cfRule type="expression" dxfId="3" priority="2">
      <formula>I125="Отклонено"</formula>
    </cfRule>
    <cfRule type="expression" dxfId="5" priority="3">
      <formula>I125="Отправлено"</formula>
    </cfRule>
  </conditionalFormatting>
  <conditionalFormatting sqref="H126">
    <cfRule type="expression" dxfId="2" priority="1">
      <formula>H126="Оплачено"</formula>
    </cfRule>
    <cfRule type="expression" dxfId="3" priority="2">
      <formula>H126="Не оплачено"</formula>
    </cfRule>
  </conditionalFormatting>
  <conditionalFormatting sqref="I126">
    <cfRule type="expression" dxfId="4" priority="1">
      <formula>I126="Принято"</formula>
    </cfRule>
    <cfRule type="expression" dxfId="3" priority="2">
      <formula>I126="Отклонено"</formula>
    </cfRule>
    <cfRule type="expression" dxfId="5" priority="3">
      <formula>I126="Отправлено"</formula>
    </cfRule>
  </conditionalFormatting>
  <conditionalFormatting sqref="H127">
    <cfRule type="expression" dxfId="2" priority="1">
      <formula>H127="Оплачено"</formula>
    </cfRule>
    <cfRule type="expression" dxfId="3" priority="2">
      <formula>H127="Не оплачено"</formula>
    </cfRule>
  </conditionalFormatting>
  <conditionalFormatting sqref="I127">
    <cfRule type="expression" dxfId="4" priority="1">
      <formula>I127="Принято"</formula>
    </cfRule>
    <cfRule type="expression" dxfId="3" priority="2">
      <formula>I127="Отклонено"</formula>
    </cfRule>
    <cfRule type="expression" dxfId="5" priority="3">
      <formula>I127="Отправлено"</formula>
    </cfRule>
  </conditionalFormatting>
  <conditionalFormatting sqref="H128">
    <cfRule type="expression" dxfId="2" priority="1">
      <formula>H128="Оплачено"</formula>
    </cfRule>
    <cfRule type="expression" dxfId="3" priority="2">
      <formula>H128="Не оплачено"</formula>
    </cfRule>
  </conditionalFormatting>
  <conditionalFormatting sqref="I128">
    <cfRule type="expression" dxfId="4" priority="1">
      <formula>I128="Принято"</formula>
    </cfRule>
    <cfRule type="expression" dxfId="3" priority="2">
      <formula>I128="Отклонено"</formula>
    </cfRule>
    <cfRule type="expression" dxfId="5" priority="3">
      <formula>I128="Отправлено"</formula>
    </cfRule>
  </conditionalFormatting>
  <conditionalFormatting sqref="H129">
    <cfRule type="expression" dxfId="2" priority="1">
      <formula>H129="Оплачено"</formula>
    </cfRule>
    <cfRule type="expression" dxfId="3" priority="2">
      <formula>H129="Не оплачено"</formula>
    </cfRule>
  </conditionalFormatting>
  <conditionalFormatting sqref="I129">
    <cfRule type="expression" dxfId="4" priority="1">
      <formula>I129="Принято"</formula>
    </cfRule>
    <cfRule type="expression" dxfId="3" priority="2">
      <formula>I129="Отклонено"</formula>
    </cfRule>
    <cfRule type="expression" dxfId="5" priority="3">
      <formula>I129="Отправлено"</formula>
    </cfRule>
  </conditionalFormatting>
  <conditionalFormatting sqref="H130">
    <cfRule type="expression" dxfId="2" priority="1">
      <formula>H130="Оплачено"</formula>
    </cfRule>
    <cfRule type="expression" dxfId="3" priority="2">
      <formula>H130="Не оплачено"</formula>
    </cfRule>
  </conditionalFormatting>
  <conditionalFormatting sqref="I130">
    <cfRule type="expression" dxfId="4" priority="1">
      <formula>I130="Принято"</formula>
    </cfRule>
    <cfRule type="expression" dxfId="3" priority="2">
      <formula>I130="Отклонено"</formula>
    </cfRule>
    <cfRule type="expression" dxfId="5" priority="3">
      <formula>I130="Отправлено"</formula>
    </cfRule>
  </conditionalFormatting>
  <conditionalFormatting sqref="H131">
    <cfRule type="expression" dxfId="2" priority="1">
      <formula>H131="Оплачено"</formula>
    </cfRule>
    <cfRule type="expression" dxfId="3" priority="2">
      <formula>H131="Не оплачено"</formula>
    </cfRule>
  </conditionalFormatting>
  <conditionalFormatting sqref="I131">
    <cfRule type="expression" dxfId="4" priority="1">
      <formula>I131="Принято"</formula>
    </cfRule>
    <cfRule type="expression" dxfId="3" priority="2">
      <formula>I131="Отклонено"</formula>
    </cfRule>
    <cfRule type="expression" dxfId="5" priority="3">
      <formula>I131="Отправлено"</formula>
    </cfRule>
  </conditionalFormatting>
  <conditionalFormatting sqref="H132">
    <cfRule type="expression" dxfId="2" priority="1">
      <formula>H132="Оплачено"</formula>
    </cfRule>
    <cfRule type="expression" dxfId="3" priority="2">
      <formula>H132="Не оплачено"</formula>
    </cfRule>
  </conditionalFormatting>
  <conditionalFormatting sqref="I132">
    <cfRule type="expression" dxfId="4" priority="1">
      <formula>I132="Принято"</formula>
    </cfRule>
    <cfRule type="expression" dxfId="3" priority="2">
      <formula>I132="Отклонено"</formula>
    </cfRule>
    <cfRule type="expression" dxfId="5" priority="3">
      <formula>I132="Отправлено"</formula>
    </cfRule>
  </conditionalFormatting>
  <conditionalFormatting sqref="H133">
    <cfRule type="expression" dxfId="2" priority="1">
      <formula>H133="Оплачено"</formula>
    </cfRule>
    <cfRule type="expression" dxfId="3" priority="2">
      <formula>H133="Не оплачено"</formula>
    </cfRule>
  </conditionalFormatting>
  <conditionalFormatting sqref="I133">
    <cfRule type="expression" dxfId="4" priority="1">
      <formula>I133="Принято"</formula>
    </cfRule>
    <cfRule type="expression" dxfId="3" priority="2">
      <formula>I133="Отклонено"</formula>
    </cfRule>
    <cfRule type="expression" dxfId="5" priority="3">
      <formula>I133="Отправлено"</formula>
    </cfRule>
  </conditionalFormatting>
  <conditionalFormatting sqref="H134">
    <cfRule type="expression" dxfId="2" priority="1">
      <formula>H134="Оплачено"</formula>
    </cfRule>
    <cfRule type="expression" dxfId="3" priority="2">
      <formula>H134="Не оплачено"</formula>
    </cfRule>
  </conditionalFormatting>
  <conditionalFormatting sqref="I134">
    <cfRule type="expression" dxfId="4" priority="1">
      <formula>I134="Принято"</formula>
    </cfRule>
    <cfRule type="expression" dxfId="3" priority="2">
      <formula>I134="Отклонено"</formula>
    </cfRule>
    <cfRule type="expression" dxfId="5" priority="3">
      <formula>I134="Отправлено"</formula>
    </cfRule>
  </conditionalFormatting>
  <conditionalFormatting sqref="H135">
    <cfRule type="expression" dxfId="2" priority="1">
      <formula>H135="Оплачено"</formula>
    </cfRule>
    <cfRule type="expression" dxfId="3" priority="2">
      <formula>H135="Не оплачено"</formula>
    </cfRule>
  </conditionalFormatting>
  <conditionalFormatting sqref="I135">
    <cfRule type="expression" dxfId="4" priority="1">
      <formula>I135="Принято"</formula>
    </cfRule>
    <cfRule type="expression" dxfId="3" priority="2">
      <formula>I135="Отклонено"</formula>
    </cfRule>
    <cfRule type="expression" dxfId="5" priority="3">
      <formula>I135="Отправлено"</formula>
    </cfRule>
  </conditionalFormatting>
  <conditionalFormatting sqref="H136">
    <cfRule type="expression" dxfId="2" priority="1">
      <formula>H136="Оплачено"</formula>
    </cfRule>
    <cfRule type="expression" dxfId="3" priority="2">
      <formula>H136="Не оплачено"</formula>
    </cfRule>
  </conditionalFormatting>
  <conditionalFormatting sqref="I136">
    <cfRule type="expression" dxfId="4" priority="1">
      <formula>I136="Принято"</formula>
    </cfRule>
    <cfRule type="expression" dxfId="3" priority="2">
      <formula>I136="Отклонено"</formula>
    </cfRule>
    <cfRule type="expression" dxfId="5" priority="3">
      <formula>I136="Отправлено"</formula>
    </cfRule>
  </conditionalFormatting>
  <conditionalFormatting sqref="H137">
    <cfRule type="expression" dxfId="2" priority="1">
      <formula>H137="Оплачено"</formula>
    </cfRule>
    <cfRule type="expression" dxfId="3" priority="2">
      <formula>H137="Не оплачено"</formula>
    </cfRule>
  </conditionalFormatting>
  <conditionalFormatting sqref="I137">
    <cfRule type="expression" dxfId="4" priority="1">
      <formula>I137="Принято"</formula>
    </cfRule>
    <cfRule type="expression" dxfId="3" priority="2">
      <formula>I137="Отклонено"</formula>
    </cfRule>
    <cfRule type="expression" dxfId="5" priority="3">
      <formula>I137="Отправлено"</formula>
    </cfRule>
  </conditionalFormatting>
  <conditionalFormatting sqref="H138">
    <cfRule type="expression" dxfId="2" priority="1">
      <formula>H138="Оплачено"</formula>
    </cfRule>
    <cfRule type="expression" dxfId="3" priority="2">
      <formula>H138="Не оплачено"</formula>
    </cfRule>
  </conditionalFormatting>
  <conditionalFormatting sqref="I138">
    <cfRule type="expression" dxfId="4" priority="1">
      <formula>I138="Принято"</formula>
    </cfRule>
    <cfRule type="expression" dxfId="3" priority="2">
      <formula>I138="Отклонено"</formula>
    </cfRule>
    <cfRule type="expression" dxfId="5" priority="3">
      <formula>I138="Отправлено"</formula>
    </cfRule>
  </conditionalFormatting>
  <conditionalFormatting sqref="H139">
    <cfRule type="expression" dxfId="2" priority="1">
      <formula>H139="Оплачено"</formula>
    </cfRule>
    <cfRule type="expression" dxfId="3" priority="2">
      <formula>H139="Не оплачено"</formula>
    </cfRule>
  </conditionalFormatting>
  <conditionalFormatting sqref="I139">
    <cfRule type="expression" dxfId="4" priority="1">
      <formula>I139="Принято"</formula>
    </cfRule>
    <cfRule type="expression" dxfId="3" priority="2">
      <formula>I139="Отклонено"</formula>
    </cfRule>
    <cfRule type="expression" dxfId="5" priority="3">
      <formula>I139="Отправлено"</formula>
    </cfRule>
  </conditionalFormatting>
  <conditionalFormatting sqref="H140">
    <cfRule type="expression" dxfId="2" priority="1">
      <formula>H140="Оплачено"</formula>
    </cfRule>
    <cfRule type="expression" dxfId="3" priority="2">
      <formula>H140="Не оплачено"</formula>
    </cfRule>
  </conditionalFormatting>
  <conditionalFormatting sqref="I140">
    <cfRule type="expression" dxfId="4" priority="1">
      <formula>I140="Принято"</formula>
    </cfRule>
    <cfRule type="expression" dxfId="3" priority="2">
      <formula>I140="Отклонено"</formula>
    </cfRule>
    <cfRule type="expression" dxfId="5" priority="3">
      <formula>I140="Отправлено"</formula>
    </cfRule>
  </conditionalFormatting>
  <conditionalFormatting sqref="H141">
    <cfRule type="expression" dxfId="2" priority="1">
      <formula>H141="Оплачено"</formula>
    </cfRule>
    <cfRule type="expression" dxfId="3" priority="2">
      <formula>H141="Не оплачено"</formula>
    </cfRule>
  </conditionalFormatting>
  <conditionalFormatting sqref="I141">
    <cfRule type="expression" dxfId="4" priority="1">
      <formula>I141="Принято"</formula>
    </cfRule>
    <cfRule type="expression" dxfId="3" priority="2">
      <formula>I141="Отклонено"</formula>
    </cfRule>
    <cfRule type="expression" dxfId="5" priority="3">
      <formula>I141="Отправлено"</formula>
    </cfRule>
  </conditionalFormatting>
  <conditionalFormatting sqref="H142">
    <cfRule type="expression" dxfId="2" priority="1">
      <formula>H142="Оплачено"</formula>
    </cfRule>
    <cfRule type="expression" dxfId="3" priority="2">
      <formula>H142="Не оплачено"</formula>
    </cfRule>
  </conditionalFormatting>
  <conditionalFormatting sqref="I142">
    <cfRule type="expression" dxfId="4" priority="1">
      <formula>I142="Принято"</formula>
    </cfRule>
    <cfRule type="expression" dxfId="3" priority="2">
      <formula>I142="Отклонено"</formula>
    </cfRule>
    <cfRule type="expression" dxfId="5" priority="3">
      <formula>I142="Отправлено"</formula>
    </cfRule>
  </conditionalFormatting>
  <conditionalFormatting sqref="H143">
    <cfRule type="expression" dxfId="2" priority="1">
      <formula>H143="Оплачено"</formula>
    </cfRule>
    <cfRule type="expression" dxfId="3" priority="2">
      <formula>H143="Не оплачено"</formula>
    </cfRule>
  </conditionalFormatting>
  <conditionalFormatting sqref="I143">
    <cfRule type="expression" dxfId="4" priority="1">
      <formula>I143="Принято"</formula>
    </cfRule>
    <cfRule type="expression" dxfId="3" priority="2">
      <formula>I143="Отклонено"</formula>
    </cfRule>
    <cfRule type="expression" dxfId="5" priority="3">
      <formula>I143="Отправлено"</formula>
    </cfRule>
  </conditionalFormatting>
  <conditionalFormatting sqref="H144">
    <cfRule type="expression" dxfId="2" priority="1">
      <formula>H144="Оплачено"</formula>
    </cfRule>
    <cfRule type="expression" dxfId="3" priority="2">
      <formula>H144="Не оплачено"</formula>
    </cfRule>
  </conditionalFormatting>
  <conditionalFormatting sqref="I144">
    <cfRule type="expression" dxfId="4" priority="1">
      <formula>I144="Принято"</formula>
    </cfRule>
    <cfRule type="expression" dxfId="3" priority="2">
      <formula>I144="Отклонено"</formula>
    </cfRule>
    <cfRule type="expression" dxfId="5" priority="3">
      <formula>I144="Отправлено"</formula>
    </cfRule>
  </conditionalFormatting>
  <conditionalFormatting sqref="H145">
    <cfRule type="expression" dxfId="2" priority="1">
      <formula>H145="Оплачено"</formula>
    </cfRule>
    <cfRule type="expression" dxfId="3" priority="2">
      <formula>H145="Не оплачено"</formula>
    </cfRule>
  </conditionalFormatting>
  <conditionalFormatting sqref="I145">
    <cfRule type="expression" dxfId="4" priority="1">
      <formula>I145="Принято"</formula>
    </cfRule>
    <cfRule type="expression" dxfId="3" priority="2">
      <formula>I145="Отклонено"</formula>
    </cfRule>
    <cfRule type="expression" dxfId="5" priority="3">
      <formula>I145="Отправлено"</formula>
    </cfRule>
  </conditionalFormatting>
  <conditionalFormatting sqref="H146">
    <cfRule type="expression" dxfId="2" priority="1">
      <formula>H146="Оплачено"</formula>
    </cfRule>
    <cfRule type="expression" dxfId="3" priority="2">
      <formula>H146="Не оплачено"</formula>
    </cfRule>
  </conditionalFormatting>
  <conditionalFormatting sqref="I146">
    <cfRule type="expression" dxfId="4" priority="1">
      <formula>I146="Принято"</formula>
    </cfRule>
    <cfRule type="expression" dxfId="3" priority="2">
      <formula>I146="Отклонено"</formula>
    </cfRule>
    <cfRule type="expression" dxfId="5" priority="3">
      <formula>I146="Отправлено"</formula>
    </cfRule>
  </conditionalFormatting>
  <conditionalFormatting sqref="H147">
    <cfRule type="expression" dxfId="2" priority="1">
      <formula>H147="Оплачено"</formula>
    </cfRule>
    <cfRule type="expression" dxfId="3" priority="2">
      <formula>H147="Не оплачено"</formula>
    </cfRule>
  </conditionalFormatting>
  <conditionalFormatting sqref="I147">
    <cfRule type="expression" dxfId="4" priority="1">
      <formula>I147="Принято"</formula>
    </cfRule>
    <cfRule type="expression" dxfId="3" priority="2">
      <formula>I147="Отклонено"</formula>
    </cfRule>
    <cfRule type="expression" dxfId="5" priority="3">
      <formula>I147="Отправлено"</formula>
    </cfRule>
  </conditionalFormatting>
  <conditionalFormatting sqref="H148">
    <cfRule type="expression" dxfId="2" priority="1">
      <formula>H148="Оплачено"</formula>
    </cfRule>
    <cfRule type="expression" dxfId="3" priority="2">
      <formula>H148="Не оплачено"</formula>
    </cfRule>
  </conditionalFormatting>
  <conditionalFormatting sqref="I148">
    <cfRule type="expression" dxfId="4" priority="1">
      <formula>I148="Принято"</formula>
    </cfRule>
    <cfRule type="expression" dxfId="3" priority="2">
      <formula>I148="Отклонено"</formula>
    </cfRule>
    <cfRule type="expression" dxfId="5" priority="3">
      <formula>I148="Отправлено"</formula>
    </cfRule>
  </conditionalFormatting>
  <conditionalFormatting sqref="H149">
    <cfRule type="expression" dxfId="2" priority="1">
      <formula>H149="Оплачено"</formula>
    </cfRule>
    <cfRule type="expression" dxfId="3" priority="2">
      <formula>H149="Не оплачено"</formula>
    </cfRule>
  </conditionalFormatting>
  <conditionalFormatting sqref="I149">
    <cfRule type="expression" dxfId="4" priority="1">
      <formula>I149="Принято"</formula>
    </cfRule>
    <cfRule type="expression" dxfId="3" priority="2">
      <formula>I149="Отклонено"</formula>
    </cfRule>
    <cfRule type="expression" dxfId="5" priority="3">
      <formula>I149="Отправлено"</formula>
    </cfRule>
  </conditionalFormatting>
  <conditionalFormatting sqref="H150">
    <cfRule type="expression" dxfId="2" priority="1">
      <formula>H150="Оплачено"</formula>
    </cfRule>
    <cfRule type="expression" dxfId="3" priority="2">
      <formula>H150="Не оплачено"</formula>
    </cfRule>
  </conditionalFormatting>
  <conditionalFormatting sqref="I150">
    <cfRule type="expression" dxfId="4" priority="1">
      <formula>I150="Принято"</formula>
    </cfRule>
    <cfRule type="expression" dxfId="3" priority="2">
      <formula>I150="Отклонено"</formula>
    </cfRule>
    <cfRule type="expression" dxfId="5" priority="3">
      <formula>I150="Отправлено"</formula>
    </cfRule>
  </conditionalFormatting>
  <conditionalFormatting sqref="H151">
    <cfRule type="expression" dxfId="2" priority="1">
      <formula>H151="Оплачено"</formula>
    </cfRule>
    <cfRule type="expression" dxfId="3" priority="2">
      <formula>H151="Не оплачено"</formula>
    </cfRule>
  </conditionalFormatting>
  <conditionalFormatting sqref="I151">
    <cfRule type="expression" dxfId="4" priority="1">
      <formula>I151="Принято"</formula>
    </cfRule>
    <cfRule type="expression" dxfId="3" priority="2">
      <formula>I151="Отклонено"</formula>
    </cfRule>
    <cfRule type="expression" dxfId="5" priority="3">
      <formula>I151="Отправлено"</formula>
    </cfRule>
  </conditionalFormatting>
  <conditionalFormatting sqref="H152">
    <cfRule type="expression" dxfId="2" priority="1">
      <formula>H152="Оплачено"</formula>
    </cfRule>
    <cfRule type="expression" dxfId="3" priority="2">
      <formula>H152="Не оплачено"</formula>
    </cfRule>
  </conditionalFormatting>
  <conditionalFormatting sqref="I152">
    <cfRule type="expression" dxfId="4" priority="1">
      <formula>I152="Принято"</formula>
    </cfRule>
    <cfRule type="expression" dxfId="3" priority="2">
      <formula>I152="Отклонено"</formula>
    </cfRule>
    <cfRule type="expression" dxfId="5" priority="3">
      <formula>I152="Отправлено"</formula>
    </cfRule>
  </conditionalFormatting>
  <conditionalFormatting sqref="H153">
    <cfRule type="expression" dxfId="2" priority="1">
      <formula>H153="Оплачено"</formula>
    </cfRule>
    <cfRule type="expression" dxfId="3" priority="2">
      <formula>H153="Не оплачено"</formula>
    </cfRule>
  </conditionalFormatting>
  <conditionalFormatting sqref="I153">
    <cfRule type="expression" dxfId="4" priority="1">
      <formula>I153="Принято"</formula>
    </cfRule>
    <cfRule type="expression" dxfId="3" priority="2">
      <formula>I153="Отклонено"</formula>
    </cfRule>
    <cfRule type="expression" dxfId="5" priority="3">
      <formula>I153="Отправлено"</formula>
    </cfRule>
  </conditionalFormatting>
  <conditionalFormatting sqref="H154">
    <cfRule type="expression" dxfId="2" priority="1">
      <formula>H154="Оплачено"</formula>
    </cfRule>
    <cfRule type="expression" dxfId="3" priority="2">
      <formula>H154="Не оплачено"</formula>
    </cfRule>
  </conditionalFormatting>
  <conditionalFormatting sqref="I154">
    <cfRule type="expression" dxfId="4" priority="1">
      <formula>I154="Принято"</formula>
    </cfRule>
    <cfRule type="expression" dxfId="3" priority="2">
      <formula>I154="Отклонено"</formula>
    </cfRule>
    <cfRule type="expression" dxfId="5" priority="3">
      <formula>I154="Отправлено"</formula>
    </cfRule>
  </conditionalFormatting>
  <conditionalFormatting sqref="H155">
    <cfRule type="expression" dxfId="2" priority="1">
      <formula>H155="Оплачено"</formula>
    </cfRule>
    <cfRule type="expression" dxfId="3" priority="2">
      <formula>H155="Не оплачено"</formula>
    </cfRule>
  </conditionalFormatting>
  <conditionalFormatting sqref="I155">
    <cfRule type="expression" dxfId="4" priority="1">
      <formula>I155="Принято"</formula>
    </cfRule>
    <cfRule type="expression" dxfId="3" priority="2">
      <formula>I155="Отклонено"</formula>
    </cfRule>
    <cfRule type="expression" dxfId="5" priority="3">
      <formula>I155="Отправлено"</formula>
    </cfRule>
  </conditionalFormatting>
  <conditionalFormatting sqref="H156">
    <cfRule type="expression" dxfId="2" priority="1">
      <formula>H156="Оплачено"</formula>
    </cfRule>
    <cfRule type="expression" dxfId="3" priority="2">
      <formula>H156="Не оплачено"</formula>
    </cfRule>
  </conditionalFormatting>
  <conditionalFormatting sqref="I156">
    <cfRule type="expression" dxfId="4" priority="1">
      <formula>I156="Принято"</formula>
    </cfRule>
    <cfRule type="expression" dxfId="3" priority="2">
      <formula>I156="Отклонено"</formula>
    </cfRule>
    <cfRule type="expression" dxfId="5" priority="3">
      <formula>I156="Отправлено"</formula>
    </cfRule>
  </conditionalFormatting>
  <conditionalFormatting sqref="H157">
    <cfRule type="expression" dxfId="2" priority="1">
      <formula>H157="Оплачено"</formula>
    </cfRule>
    <cfRule type="expression" dxfId="3" priority="2">
      <formula>H157="Не оплачено"</formula>
    </cfRule>
  </conditionalFormatting>
  <conditionalFormatting sqref="I157">
    <cfRule type="expression" dxfId="4" priority="1">
      <formula>I157="Принято"</formula>
    </cfRule>
    <cfRule type="expression" dxfId="3" priority="2">
      <formula>I157="Отклонено"</formula>
    </cfRule>
    <cfRule type="expression" dxfId="5" priority="3">
      <formula>I157="Отправлено"</formula>
    </cfRule>
  </conditionalFormatting>
  <conditionalFormatting sqref="H158">
    <cfRule type="expression" dxfId="2" priority="1">
      <formula>H158="Оплачено"</formula>
    </cfRule>
    <cfRule type="expression" dxfId="3" priority="2">
      <formula>H158="Не оплачено"</formula>
    </cfRule>
  </conditionalFormatting>
  <conditionalFormatting sqref="I158">
    <cfRule type="expression" dxfId="4" priority="1">
      <formula>I158="Принято"</formula>
    </cfRule>
    <cfRule type="expression" dxfId="3" priority="2">
      <formula>I158="Отклонено"</formula>
    </cfRule>
    <cfRule type="expression" dxfId="5" priority="3">
      <formula>I158="Отправлено"</formula>
    </cfRule>
  </conditionalFormatting>
  <conditionalFormatting sqref="H159">
    <cfRule type="expression" dxfId="2" priority="1">
      <formula>H159="Оплачено"</formula>
    </cfRule>
    <cfRule type="expression" dxfId="3" priority="2">
      <formula>H159="Не оплачено"</formula>
    </cfRule>
  </conditionalFormatting>
  <conditionalFormatting sqref="I159">
    <cfRule type="expression" dxfId="4" priority="1">
      <formula>I159="Принято"</formula>
    </cfRule>
    <cfRule type="expression" dxfId="3" priority="2">
      <formula>I159="Отклонено"</formula>
    </cfRule>
    <cfRule type="expression" dxfId="5" priority="3">
      <formula>I159="Отправлено"</formula>
    </cfRule>
  </conditionalFormatting>
  <conditionalFormatting sqref="H160">
    <cfRule type="expression" dxfId="2" priority="1">
      <formula>H160="Оплачено"</formula>
    </cfRule>
    <cfRule type="expression" dxfId="3" priority="2">
      <formula>H160="Не оплачено"</formula>
    </cfRule>
  </conditionalFormatting>
  <conditionalFormatting sqref="I160">
    <cfRule type="expression" dxfId="4" priority="1">
      <formula>I160="Принято"</formula>
    </cfRule>
    <cfRule type="expression" dxfId="3" priority="2">
      <formula>I160="Отклонено"</formula>
    </cfRule>
    <cfRule type="expression" dxfId="5" priority="3">
      <formula>I160="Отправлено"</formula>
    </cfRule>
  </conditionalFormatting>
  <conditionalFormatting sqref="H161">
    <cfRule type="expression" dxfId="2" priority="1">
      <formula>H161="Оплачено"</formula>
    </cfRule>
    <cfRule type="expression" dxfId="3" priority="2">
      <formula>H161="Не оплачено"</formula>
    </cfRule>
  </conditionalFormatting>
  <conditionalFormatting sqref="I161">
    <cfRule type="expression" dxfId="4" priority="1">
      <formula>I161="Принято"</formula>
    </cfRule>
    <cfRule type="expression" dxfId="3" priority="2">
      <formula>I161="Отклонено"</formula>
    </cfRule>
    <cfRule type="expression" dxfId="5" priority="3">
      <formula>I161="Отправлено"</formula>
    </cfRule>
  </conditionalFormatting>
  <conditionalFormatting sqref="H162">
    <cfRule type="expression" dxfId="2" priority="1">
      <formula>H162="Оплачено"</formula>
    </cfRule>
    <cfRule type="expression" dxfId="3" priority="2">
      <formula>H162="Не оплачено"</formula>
    </cfRule>
  </conditionalFormatting>
  <conditionalFormatting sqref="I162">
    <cfRule type="expression" dxfId="4" priority="1">
      <formula>I162="Принято"</formula>
    </cfRule>
    <cfRule type="expression" dxfId="3" priority="2">
      <formula>I162="Отклонено"</formula>
    </cfRule>
    <cfRule type="expression" dxfId="5" priority="3">
      <formula>I162="Отправлено"</formula>
    </cfRule>
  </conditionalFormatting>
  <conditionalFormatting sqref="H163">
    <cfRule type="expression" dxfId="2" priority="1">
      <formula>H163="Оплачено"</formula>
    </cfRule>
    <cfRule type="expression" dxfId="3" priority="2">
      <formula>H163="Не оплачено"</formula>
    </cfRule>
  </conditionalFormatting>
  <conditionalFormatting sqref="I163">
    <cfRule type="expression" dxfId="4" priority="1">
      <formula>I163="Принято"</formula>
    </cfRule>
    <cfRule type="expression" dxfId="3" priority="2">
      <formula>I163="Отклонено"</formula>
    </cfRule>
    <cfRule type="expression" dxfId="5" priority="3">
      <formula>I163="Отправлено"</formula>
    </cfRule>
  </conditionalFormatting>
  <conditionalFormatting sqref="H164">
    <cfRule type="expression" dxfId="2" priority="1">
      <formula>H164="Оплачено"</formula>
    </cfRule>
    <cfRule type="expression" dxfId="3" priority="2">
      <formula>H164="Не оплачено"</formula>
    </cfRule>
  </conditionalFormatting>
  <conditionalFormatting sqref="I164">
    <cfRule type="expression" dxfId="4" priority="1">
      <formula>I164="Принято"</formula>
    </cfRule>
    <cfRule type="expression" dxfId="3" priority="2">
      <formula>I164="Отклонено"</formula>
    </cfRule>
    <cfRule type="expression" dxfId="5" priority="3">
      <formula>I164="Отправлено"</formula>
    </cfRule>
  </conditionalFormatting>
  <conditionalFormatting sqref="H165">
    <cfRule type="expression" dxfId="2" priority="1">
      <formula>H165="Оплачено"</formula>
    </cfRule>
    <cfRule type="expression" dxfId="3" priority="2">
      <formula>H165="Не оплачено"</formula>
    </cfRule>
  </conditionalFormatting>
  <conditionalFormatting sqref="I165">
    <cfRule type="expression" dxfId="4" priority="1">
      <formula>I165="Принято"</formula>
    </cfRule>
    <cfRule type="expression" dxfId="3" priority="2">
      <formula>I165="Отклонено"</formula>
    </cfRule>
    <cfRule type="expression" dxfId="5" priority="3">
      <formula>I165="Отправлено"</formula>
    </cfRule>
  </conditionalFormatting>
  <conditionalFormatting sqref="H166">
    <cfRule type="expression" dxfId="2" priority="1">
      <formula>H166="Оплачено"</formula>
    </cfRule>
    <cfRule type="expression" dxfId="3" priority="2">
      <formula>H166="Не оплачено"</formula>
    </cfRule>
  </conditionalFormatting>
  <conditionalFormatting sqref="I166">
    <cfRule type="expression" dxfId="4" priority="1">
      <formula>I166="Принято"</formula>
    </cfRule>
    <cfRule type="expression" dxfId="3" priority="2">
      <formula>I166="Отклонено"</formula>
    </cfRule>
    <cfRule type="expression" dxfId="5" priority="3">
      <formula>I166="Отправлено"</formula>
    </cfRule>
  </conditionalFormatting>
  <conditionalFormatting sqref="H167">
    <cfRule type="expression" dxfId="2" priority="1">
      <formula>H167="Оплачено"</formula>
    </cfRule>
    <cfRule type="expression" dxfId="3" priority="2">
      <formula>H167="Не оплачено"</formula>
    </cfRule>
  </conditionalFormatting>
  <conditionalFormatting sqref="I167">
    <cfRule type="expression" dxfId="4" priority="1">
      <formula>I167="Принято"</formula>
    </cfRule>
    <cfRule type="expression" dxfId="3" priority="2">
      <formula>I167="Отклонено"</formula>
    </cfRule>
    <cfRule type="expression" dxfId="5" priority="3">
      <formula>I167="Отправлено"</formula>
    </cfRule>
  </conditionalFormatting>
  <conditionalFormatting sqref="H168">
    <cfRule type="expression" dxfId="2" priority="1">
      <formula>H168="Оплачено"</formula>
    </cfRule>
    <cfRule type="expression" dxfId="3" priority="2">
      <formula>H168="Не оплачено"</formula>
    </cfRule>
  </conditionalFormatting>
  <conditionalFormatting sqref="I168">
    <cfRule type="expression" dxfId="4" priority="1">
      <formula>I168="Принято"</formula>
    </cfRule>
    <cfRule type="expression" dxfId="3" priority="2">
      <formula>I168="Отклонено"</formula>
    </cfRule>
    <cfRule type="expression" dxfId="5" priority="3">
      <formula>I168="Отправлено"</formula>
    </cfRule>
  </conditionalFormatting>
  <conditionalFormatting sqref="H169">
    <cfRule type="expression" dxfId="2" priority="1">
      <formula>H169="Оплачено"</formula>
    </cfRule>
    <cfRule type="expression" dxfId="3" priority="2">
      <formula>H169="Не оплачено"</formula>
    </cfRule>
  </conditionalFormatting>
  <conditionalFormatting sqref="I169">
    <cfRule type="expression" dxfId="4" priority="1">
      <formula>I169="Принято"</formula>
    </cfRule>
    <cfRule type="expression" dxfId="3" priority="2">
      <formula>I169="Отклонено"</formula>
    </cfRule>
    <cfRule type="expression" dxfId="5" priority="3">
      <formula>I169="Отправлено"</formula>
    </cfRule>
  </conditionalFormatting>
  <conditionalFormatting sqref="H170">
    <cfRule type="expression" dxfId="2" priority="1">
      <formula>H170="Оплачено"</formula>
    </cfRule>
    <cfRule type="expression" dxfId="3" priority="2">
      <formula>H170="Не оплачено"</formula>
    </cfRule>
  </conditionalFormatting>
  <conditionalFormatting sqref="I170">
    <cfRule type="expression" dxfId="4" priority="1">
      <formula>I170="Принято"</formula>
    </cfRule>
    <cfRule type="expression" dxfId="3" priority="2">
      <formula>I170="Отклонено"</formula>
    </cfRule>
    <cfRule type="expression" dxfId="5" priority="3">
      <formula>I170="Отправлено"</formula>
    </cfRule>
  </conditionalFormatting>
  <conditionalFormatting sqref="H171">
    <cfRule type="expression" dxfId="2" priority="1">
      <formula>H171="Оплачено"</formula>
    </cfRule>
    <cfRule type="expression" dxfId="3" priority="2">
      <formula>H171="Не оплачено"</formula>
    </cfRule>
  </conditionalFormatting>
  <conditionalFormatting sqref="I171">
    <cfRule type="expression" dxfId="4" priority="1">
      <formula>I171="Принято"</formula>
    </cfRule>
    <cfRule type="expression" dxfId="3" priority="2">
      <formula>I171="Отклонено"</formula>
    </cfRule>
    <cfRule type="expression" dxfId="5" priority="3">
      <formula>I171="Отправлено"</formula>
    </cfRule>
  </conditionalFormatting>
  <conditionalFormatting sqref="H172">
    <cfRule type="expression" dxfId="2" priority="1">
      <formula>H172="Оплачено"</formula>
    </cfRule>
    <cfRule type="expression" dxfId="3" priority="2">
      <formula>H172="Не оплачено"</formula>
    </cfRule>
  </conditionalFormatting>
  <conditionalFormatting sqref="I172">
    <cfRule type="expression" dxfId="4" priority="1">
      <formula>I172="Принято"</formula>
    </cfRule>
    <cfRule type="expression" dxfId="3" priority="2">
      <formula>I172="Отклонено"</formula>
    </cfRule>
    <cfRule type="expression" dxfId="5" priority="3">
      <formula>I172="Отправлено"</formula>
    </cfRule>
  </conditionalFormatting>
  <conditionalFormatting sqref="H173">
    <cfRule type="expression" dxfId="2" priority="1">
      <formula>H173="Оплачено"</formula>
    </cfRule>
    <cfRule type="expression" dxfId="3" priority="2">
      <formula>H173="Не оплачено"</formula>
    </cfRule>
  </conditionalFormatting>
  <conditionalFormatting sqref="I173">
    <cfRule type="expression" dxfId="4" priority="1">
      <formula>I173="Принято"</formula>
    </cfRule>
    <cfRule type="expression" dxfId="3" priority="2">
      <formula>I173="Отклонено"</formula>
    </cfRule>
    <cfRule type="expression" dxfId="5" priority="3">
      <formula>I173="Отправлено"</formula>
    </cfRule>
  </conditionalFormatting>
  <conditionalFormatting sqref="H174">
    <cfRule type="expression" dxfId="2" priority="1">
      <formula>H174="Оплачено"</formula>
    </cfRule>
    <cfRule type="expression" dxfId="3" priority="2">
      <formula>H174="Не оплачено"</formula>
    </cfRule>
  </conditionalFormatting>
  <conditionalFormatting sqref="I174">
    <cfRule type="expression" dxfId="4" priority="1">
      <formula>I174="Принято"</formula>
    </cfRule>
    <cfRule type="expression" dxfId="3" priority="2">
      <formula>I174="Отклонено"</formula>
    </cfRule>
    <cfRule type="expression" dxfId="5" priority="3">
      <formula>I174="Отправлено"</formula>
    </cfRule>
  </conditionalFormatting>
  <conditionalFormatting sqref="H175">
    <cfRule type="expression" dxfId="2" priority="1">
      <formula>H175="Оплачено"</formula>
    </cfRule>
    <cfRule type="expression" dxfId="3" priority="2">
      <formula>H175="Не оплачено"</formula>
    </cfRule>
  </conditionalFormatting>
  <conditionalFormatting sqref="I175">
    <cfRule type="expression" dxfId="4" priority="1">
      <formula>I175="Принято"</formula>
    </cfRule>
    <cfRule type="expression" dxfId="3" priority="2">
      <formula>I175="Отклонено"</formula>
    </cfRule>
    <cfRule type="expression" dxfId="5" priority="3">
      <formula>I175="Отправлено"</formula>
    </cfRule>
  </conditionalFormatting>
  <conditionalFormatting sqref="H176">
    <cfRule type="expression" dxfId="2" priority="1">
      <formula>H176="Оплачено"</formula>
    </cfRule>
    <cfRule type="expression" dxfId="3" priority="2">
      <formula>H176="Не оплачено"</formula>
    </cfRule>
  </conditionalFormatting>
  <conditionalFormatting sqref="I176">
    <cfRule type="expression" dxfId="4" priority="1">
      <formula>I176="Принято"</formula>
    </cfRule>
    <cfRule type="expression" dxfId="3" priority="2">
      <formula>I176="Отклонено"</formula>
    </cfRule>
    <cfRule type="expression" dxfId="5" priority="3">
      <formula>I176="Отправлено"</formula>
    </cfRule>
  </conditionalFormatting>
  <conditionalFormatting sqref="H177">
    <cfRule type="expression" dxfId="2" priority="1">
      <formula>H177="Оплачено"</formula>
    </cfRule>
    <cfRule type="expression" dxfId="3" priority="2">
      <formula>H177="Не оплачено"</formula>
    </cfRule>
  </conditionalFormatting>
  <conditionalFormatting sqref="I177">
    <cfRule type="expression" dxfId="4" priority="1">
      <formula>I177="Принято"</formula>
    </cfRule>
    <cfRule type="expression" dxfId="3" priority="2">
      <formula>I177="Отклонено"</formula>
    </cfRule>
    <cfRule type="expression" dxfId="5" priority="3">
      <formula>I177="Отправлено"</formula>
    </cfRule>
  </conditionalFormatting>
  <conditionalFormatting sqref="H178">
    <cfRule type="expression" dxfId="2" priority="1">
      <formula>H178="Оплачено"</formula>
    </cfRule>
    <cfRule type="expression" dxfId="3" priority="2">
      <formula>H178="Не оплачено"</formula>
    </cfRule>
  </conditionalFormatting>
  <conditionalFormatting sqref="I178">
    <cfRule type="expression" dxfId="4" priority="1">
      <formula>I178="Принято"</formula>
    </cfRule>
    <cfRule type="expression" dxfId="3" priority="2">
      <formula>I178="Отклонено"</formula>
    </cfRule>
    <cfRule type="expression" dxfId="5" priority="3">
      <formula>I178="Отправлено"</formula>
    </cfRule>
  </conditionalFormatting>
  <conditionalFormatting sqref="H179">
    <cfRule type="expression" dxfId="2" priority="1">
      <formula>H179="Оплачено"</formula>
    </cfRule>
    <cfRule type="expression" dxfId="3" priority="2">
      <formula>H179="Не оплачено"</formula>
    </cfRule>
  </conditionalFormatting>
  <conditionalFormatting sqref="I179">
    <cfRule type="expression" dxfId="4" priority="1">
      <formula>I179="Принято"</formula>
    </cfRule>
    <cfRule type="expression" dxfId="3" priority="2">
      <formula>I179="Отклонено"</formula>
    </cfRule>
    <cfRule type="expression" dxfId="5" priority="3">
      <formula>I179="Отправлено"</formula>
    </cfRule>
  </conditionalFormatting>
  <conditionalFormatting sqref="H180">
    <cfRule type="expression" dxfId="2" priority="1">
      <formula>H180="Оплачено"</formula>
    </cfRule>
    <cfRule type="expression" dxfId="3" priority="2">
      <formula>H180="Не оплачено"</formula>
    </cfRule>
  </conditionalFormatting>
  <conditionalFormatting sqref="I180">
    <cfRule type="expression" dxfId="4" priority="1">
      <formula>I180="Принято"</formula>
    </cfRule>
    <cfRule type="expression" dxfId="3" priority="2">
      <formula>I180="Отклонено"</formula>
    </cfRule>
    <cfRule type="expression" dxfId="5" priority="3">
      <formula>I180="Отправлено"</formula>
    </cfRule>
  </conditionalFormatting>
  <conditionalFormatting sqref="H181">
    <cfRule type="expression" dxfId="2" priority="1">
      <formula>H181="Оплачено"</formula>
    </cfRule>
    <cfRule type="expression" dxfId="3" priority="2">
      <formula>H181="Не оплачено"</formula>
    </cfRule>
  </conditionalFormatting>
  <conditionalFormatting sqref="I181">
    <cfRule type="expression" dxfId="4" priority="1">
      <formula>I181="Принято"</formula>
    </cfRule>
    <cfRule type="expression" dxfId="3" priority="2">
      <formula>I181="Отклонено"</formula>
    </cfRule>
    <cfRule type="expression" dxfId="5" priority="3">
      <formula>I181="Отправлено"</formula>
    </cfRule>
  </conditionalFormatting>
  <conditionalFormatting sqref="H182">
    <cfRule type="expression" dxfId="2" priority="1">
      <formula>H182="Оплачено"</formula>
    </cfRule>
    <cfRule type="expression" dxfId="3" priority="2">
      <formula>H182="Не оплачено"</formula>
    </cfRule>
  </conditionalFormatting>
  <conditionalFormatting sqref="I182">
    <cfRule type="expression" dxfId="4" priority="1">
      <formula>I182="Принято"</formula>
    </cfRule>
    <cfRule type="expression" dxfId="3" priority="2">
      <formula>I182="Отклонено"</formula>
    </cfRule>
    <cfRule type="expression" dxfId="5" priority="3">
      <formula>I182="Отправлено"</formula>
    </cfRule>
  </conditionalFormatting>
  <conditionalFormatting sqref="H183">
    <cfRule type="expression" dxfId="2" priority="1">
      <formula>H183="Оплачено"</formula>
    </cfRule>
    <cfRule type="expression" dxfId="3" priority="2">
      <formula>H183="Не оплачено"</formula>
    </cfRule>
  </conditionalFormatting>
  <conditionalFormatting sqref="I183">
    <cfRule type="expression" dxfId="4" priority="1">
      <formula>I183="Принято"</formula>
    </cfRule>
    <cfRule type="expression" dxfId="3" priority="2">
      <formula>I183="Отклонено"</formula>
    </cfRule>
    <cfRule type="expression" dxfId="5" priority="3">
      <formula>I183="Отправлено"</formula>
    </cfRule>
  </conditionalFormatting>
  <conditionalFormatting sqref="H184">
    <cfRule type="expression" dxfId="2" priority="1">
      <formula>H184="Оплачено"</formula>
    </cfRule>
    <cfRule type="expression" dxfId="3" priority="2">
      <formula>H184="Не оплачено"</formula>
    </cfRule>
  </conditionalFormatting>
  <conditionalFormatting sqref="I184">
    <cfRule type="expression" dxfId="4" priority="1">
      <formula>I184="Принято"</formula>
    </cfRule>
    <cfRule type="expression" dxfId="3" priority="2">
      <formula>I184="Отклонено"</formula>
    </cfRule>
    <cfRule type="expression" dxfId="5" priority="3">
      <formula>I184="Отправлено"</formula>
    </cfRule>
  </conditionalFormatting>
  <conditionalFormatting sqref="H185">
    <cfRule type="expression" dxfId="2" priority="1">
      <formula>H185="Оплачено"</formula>
    </cfRule>
    <cfRule type="expression" dxfId="3" priority="2">
      <formula>H185="Не оплачено"</formula>
    </cfRule>
  </conditionalFormatting>
  <conditionalFormatting sqref="I185">
    <cfRule type="expression" dxfId="4" priority="1">
      <formula>I185="Принято"</formula>
    </cfRule>
    <cfRule type="expression" dxfId="3" priority="2">
      <formula>I185="Отклонено"</formula>
    </cfRule>
    <cfRule type="expression" dxfId="5" priority="3">
      <formula>I185="Отправлено"</formula>
    </cfRule>
  </conditionalFormatting>
  <conditionalFormatting sqref="H186">
    <cfRule type="expression" dxfId="2" priority="1">
      <formula>H186="Оплачено"</formula>
    </cfRule>
    <cfRule type="expression" dxfId="3" priority="2">
      <formula>H186="Не оплачено"</formula>
    </cfRule>
  </conditionalFormatting>
  <conditionalFormatting sqref="I186">
    <cfRule type="expression" dxfId="4" priority="1">
      <formula>I186="Принято"</formula>
    </cfRule>
    <cfRule type="expression" dxfId="3" priority="2">
      <formula>I186="Отклонено"</formula>
    </cfRule>
    <cfRule type="expression" dxfId="5" priority="3">
      <formula>I186="Отправлено"</formula>
    </cfRule>
  </conditionalFormatting>
  <conditionalFormatting sqref="H187">
    <cfRule type="expression" dxfId="2" priority="1">
      <formula>H187="Оплачено"</formula>
    </cfRule>
    <cfRule type="expression" dxfId="3" priority="2">
      <formula>H187="Не оплачено"</formula>
    </cfRule>
  </conditionalFormatting>
  <conditionalFormatting sqref="I187">
    <cfRule type="expression" dxfId="4" priority="1">
      <formula>I187="Принято"</formula>
    </cfRule>
    <cfRule type="expression" dxfId="3" priority="2">
      <formula>I187="Отклонено"</formula>
    </cfRule>
    <cfRule type="expression" dxfId="5" priority="3">
      <formula>I187="Отправлено"</formula>
    </cfRule>
  </conditionalFormatting>
  <conditionalFormatting sqref="H188">
    <cfRule type="expression" dxfId="2" priority="1">
      <formula>H188="Оплачено"</formula>
    </cfRule>
    <cfRule type="expression" dxfId="3" priority="2">
      <formula>H188="Не оплачено"</formula>
    </cfRule>
  </conditionalFormatting>
  <conditionalFormatting sqref="I188">
    <cfRule type="expression" dxfId="4" priority="1">
      <formula>I188="Принято"</formula>
    </cfRule>
    <cfRule type="expression" dxfId="3" priority="2">
      <formula>I188="Отклонено"</formula>
    </cfRule>
    <cfRule type="expression" dxfId="5" priority="3">
      <formula>I188="Отправлено"</formula>
    </cfRule>
  </conditionalFormatting>
  <conditionalFormatting sqref="H189">
    <cfRule type="expression" dxfId="2" priority="1">
      <formula>H189="Оплачено"</formula>
    </cfRule>
    <cfRule type="expression" dxfId="3" priority="2">
      <formula>H189="Не оплачено"</formula>
    </cfRule>
  </conditionalFormatting>
  <conditionalFormatting sqref="I189">
    <cfRule type="expression" dxfId="4" priority="1">
      <formula>I189="Принято"</formula>
    </cfRule>
    <cfRule type="expression" dxfId="3" priority="2">
      <formula>I189="Отклонено"</formula>
    </cfRule>
    <cfRule type="expression" dxfId="5" priority="3">
      <formula>I189="Отправлено"</formula>
    </cfRule>
  </conditionalFormatting>
  <conditionalFormatting sqref="H190">
    <cfRule type="expression" dxfId="2" priority="1">
      <formula>H190="Оплачено"</formula>
    </cfRule>
    <cfRule type="expression" dxfId="3" priority="2">
      <formula>H190="Не оплачено"</formula>
    </cfRule>
  </conditionalFormatting>
  <conditionalFormatting sqref="I190">
    <cfRule type="expression" dxfId="4" priority="1">
      <formula>I190="Принято"</formula>
    </cfRule>
    <cfRule type="expression" dxfId="3" priority="2">
      <formula>I190="Отклонено"</formula>
    </cfRule>
    <cfRule type="expression" dxfId="5" priority="3">
      <formula>I190="Отправлено"</formula>
    </cfRule>
  </conditionalFormatting>
  <conditionalFormatting sqref="H191">
    <cfRule type="expression" dxfId="2" priority="1">
      <formula>H191="Оплачено"</formula>
    </cfRule>
    <cfRule type="expression" dxfId="3" priority="2">
      <formula>H191="Не оплачено"</formula>
    </cfRule>
  </conditionalFormatting>
  <conditionalFormatting sqref="I191">
    <cfRule type="expression" dxfId="4" priority="1">
      <formula>I191="Принято"</formula>
    </cfRule>
    <cfRule type="expression" dxfId="3" priority="2">
      <formula>I191="Отклонено"</formula>
    </cfRule>
    <cfRule type="expression" dxfId="5" priority="3">
      <formula>I191="Отправлено"</formula>
    </cfRule>
  </conditionalFormatting>
  <conditionalFormatting sqref="H192">
    <cfRule type="expression" dxfId="2" priority="1">
      <formula>H192="Оплачено"</formula>
    </cfRule>
    <cfRule type="expression" dxfId="3" priority="2">
      <formula>H192="Не оплачено"</formula>
    </cfRule>
  </conditionalFormatting>
  <conditionalFormatting sqref="I192">
    <cfRule type="expression" dxfId="4" priority="1">
      <formula>I192="Принято"</formula>
    </cfRule>
    <cfRule type="expression" dxfId="3" priority="2">
      <formula>I192="Отклонено"</formula>
    </cfRule>
    <cfRule type="expression" dxfId="5" priority="3">
      <formula>I192="Отправлено"</formula>
    </cfRule>
  </conditionalFormatting>
  <conditionalFormatting sqref="H193">
    <cfRule type="expression" dxfId="2" priority="1">
      <formula>H193="Оплачено"</formula>
    </cfRule>
    <cfRule type="expression" dxfId="3" priority="2">
      <formula>H193="Не оплачено"</formula>
    </cfRule>
  </conditionalFormatting>
  <conditionalFormatting sqref="I193">
    <cfRule type="expression" dxfId="4" priority="1">
      <formula>I193="Принято"</formula>
    </cfRule>
    <cfRule type="expression" dxfId="3" priority="2">
      <formula>I193="Отклонено"</formula>
    </cfRule>
    <cfRule type="expression" dxfId="5" priority="3">
      <formula>I193="Отправлено"</formula>
    </cfRule>
  </conditionalFormatting>
  <conditionalFormatting sqref="H194">
    <cfRule type="expression" dxfId="2" priority="1">
      <formula>H194="Оплачено"</formula>
    </cfRule>
    <cfRule type="expression" dxfId="3" priority="2">
      <formula>H194="Не оплачено"</formula>
    </cfRule>
  </conditionalFormatting>
  <conditionalFormatting sqref="I194">
    <cfRule type="expression" dxfId="4" priority="1">
      <formula>I194="Принято"</formula>
    </cfRule>
    <cfRule type="expression" dxfId="3" priority="2">
      <formula>I194="Отклонено"</formula>
    </cfRule>
    <cfRule type="expression" dxfId="5" priority="3">
      <formula>I194="Отправлено"</formula>
    </cfRule>
  </conditionalFormatting>
  <conditionalFormatting sqref="H195">
    <cfRule type="expression" dxfId="2" priority="1">
      <formula>H195="Оплачено"</formula>
    </cfRule>
    <cfRule type="expression" dxfId="3" priority="2">
      <formula>H195="Не оплачено"</formula>
    </cfRule>
  </conditionalFormatting>
  <conditionalFormatting sqref="I195">
    <cfRule type="expression" dxfId="4" priority="1">
      <formula>I195="Принято"</formula>
    </cfRule>
    <cfRule type="expression" dxfId="3" priority="2">
      <formula>I195="Отклонено"</formula>
    </cfRule>
    <cfRule type="expression" dxfId="5" priority="3">
      <formula>I195="Отправлено"</formula>
    </cfRule>
  </conditionalFormatting>
  <conditionalFormatting sqref="H196">
    <cfRule type="expression" dxfId="2" priority="1">
      <formula>H196="Оплачено"</formula>
    </cfRule>
    <cfRule type="expression" dxfId="3" priority="2">
      <formula>H196="Не оплачено"</formula>
    </cfRule>
  </conditionalFormatting>
  <conditionalFormatting sqref="I196">
    <cfRule type="expression" dxfId="4" priority="1">
      <formula>I196="Принято"</formula>
    </cfRule>
    <cfRule type="expression" dxfId="3" priority="2">
      <formula>I196="Отклонено"</formula>
    </cfRule>
    <cfRule type="expression" dxfId="5" priority="3">
      <formula>I196="Отправлено"</formula>
    </cfRule>
  </conditionalFormatting>
  <conditionalFormatting sqref="H197">
    <cfRule type="expression" dxfId="2" priority="1">
      <formula>H197="Оплачено"</formula>
    </cfRule>
    <cfRule type="expression" dxfId="3" priority="2">
      <formula>H197="Не оплачено"</formula>
    </cfRule>
  </conditionalFormatting>
  <conditionalFormatting sqref="I197">
    <cfRule type="expression" dxfId="4" priority="1">
      <formula>I197="Принято"</formula>
    </cfRule>
    <cfRule type="expression" dxfId="3" priority="2">
      <formula>I197="Отклонено"</formula>
    </cfRule>
    <cfRule type="expression" dxfId="5" priority="3">
      <formula>I197="Отправлено"</formula>
    </cfRule>
  </conditionalFormatting>
  <conditionalFormatting sqref="H198">
    <cfRule type="expression" dxfId="2" priority="1">
      <formula>H198="Оплачено"</formula>
    </cfRule>
    <cfRule type="expression" dxfId="3" priority="2">
      <formula>H198="Не оплачено"</formula>
    </cfRule>
  </conditionalFormatting>
  <conditionalFormatting sqref="I198">
    <cfRule type="expression" dxfId="4" priority="1">
      <formula>I198="Принято"</formula>
    </cfRule>
    <cfRule type="expression" dxfId="3" priority="2">
      <formula>I198="Отклонено"</formula>
    </cfRule>
    <cfRule type="expression" dxfId="5" priority="3">
      <formula>I198="Отправлено"</formula>
    </cfRule>
  </conditionalFormatting>
  <conditionalFormatting sqref="H199">
    <cfRule type="expression" dxfId="2" priority="1">
      <formula>H199="Оплачено"</formula>
    </cfRule>
    <cfRule type="expression" dxfId="3" priority="2">
      <formula>H199="Не оплачено"</formula>
    </cfRule>
  </conditionalFormatting>
  <conditionalFormatting sqref="I199">
    <cfRule type="expression" dxfId="4" priority="1">
      <formula>I199="Принято"</formula>
    </cfRule>
    <cfRule type="expression" dxfId="3" priority="2">
      <formula>I199="Отклонено"</formula>
    </cfRule>
    <cfRule type="expression" dxfId="5" priority="3">
      <formula>I199="Отправлено"</formula>
    </cfRule>
  </conditionalFormatting>
  <conditionalFormatting sqref="H200">
    <cfRule type="expression" dxfId="2" priority="1">
      <formula>H200="Оплачено"</formula>
    </cfRule>
    <cfRule type="expression" dxfId="3" priority="2">
      <formula>H200="Не оплачено"</formula>
    </cfRule>
  </conditionalFormatting>
  <conditionalFormatting sqref="I200">
    <cfRule type="expression" dxfId="4" priority="1">
      <formula>I200="Принято"</formula>
    </cfRule>
    <cfRule type="expression" dxfId="3" priority="2">
      <formula>I200="Отклонено"</formula>
    </cfRule>
    <cfRule type="expression" dxfId="5" priority="3">
      <formula>I200="Отправлено"</formula>
    </cfRule>
  </conditionalFormatting>
  <conditionalFormatting sqref="H201">
    <cfRule type="expression" dxfId="2" priority="1">
      <formula>H201="Оплачено"</formula>
    </cfRule>
    <cfRule type="expression" dxfId="3" priority="2">
      <formula>H201="Не оплачено"</formula>
    </cfRule>
  </conditionalFormatting>
  <conditionalFormatting sqref="I201">
    <cfRule type="expression" dxfId="4" priority="1">
      <formula>I201="Принято"</formula>
    </cfRule>
    <cfRule type="expression" dxfId="3" priority="2">
      <formula>I201="Отклонено"</formula>
    </cfRule>
    <cfRule type="expression" dxfId="5" priority="3">
      <formula>I201="Отправлено"</formula>
    </cfRule>
  </conditionalFormatting>
  <conditionalFormatting sqref="H202">
    <cfRule type="expression" dxfId="2" priority="1">
      <formula>H202="Оплачено"</formula>
    </cfRule>
    <cfRule type="expression" dxfId="3" priority="2">
      <formula>H202="Не оплачено"</formula>
    </cfRule>
  </conditionalFormatting>
  <conditionalFormatting sqref="I202">
    <cfRule type="expression" dxfId="4" priority="1">
      <formula>I202="Принято"</formula>
    </cfRule>
    <cfRule type="expression" dxfId="3" priority="2">
      <formula>I202="Отклонено"</formula>
    </cfRule>
    <cfRule type="expression" dxfId="5" priority="3">
      <formula>I202="Отправлено"</formula>
    </cfRule>
  </conditionalFormatting>
  <conditionalFormatting sqref="H203">
    <cfRule type="expression" dxfId="2" priority="1">
      <formula>H203="Оплачено"</formula>
    </cfRule>
    <cfRule type="expression" dxfId="3" priority="2">
      <formula>H203="Не оплачено"</formula>
    </cfRule>
  </conditionalFormatting>
  <conditionalFormatting sqref="I203">
    <cfRule type="expression" dxfId="4" priority="1">
      <formula>I203="Принято"</formula>
    </cfRule>
    <cfRule type="expression" dxfId="3" priority="2">
      <formula>I203="Отклонено"</formula>
    </cfRule>
    <cfRule type="expression" dxfId="5" priority="3">
      <formula>I203="Отправлено"</formula>
    </cfRule>
  </conditionalFormatting>
  <conditionalFormatting sqref="H204">
    <cfRule type="expression" dxfId="2" priority="1">
      <formula>H204="Оплачено"</formula>
    </cfRule>
    <cfRule type="expression" dxfId="3" priority="2">
      <formula>H204="Не оплачено"</formula>
    </cfRule>
  </conditionalFormatting>
  <conditionalFormatting sqref="I204">
    <cfRule type="expression" dxfId="4" priority="1">
      <formula>I204="Принято"</formula>
    </cfRule>
    <cfRule type="expression" dxfId="3" priority="2">
      <formula>I204="Отклонено"</formula>
    </cfRule>
    <cfRule type="expression" dxfId="5" priority="3">
      <formula>I204="Отправлено"</formula>
    </cfRule>
  </conditionalFormatting>
  <conditionalFormatting sqref="H205">
    <cfRule type="expression" dxfId="2" priority="1">
      <formula>H205="Оплачено"</formula>
    </cfRule>
    <cfRule type="expression" dxfId="3" priority="2">
      <formula>H205="Не оплачено"</formula>
    </cfRule>
  </conditionalFormatting>
  <conditionalFormatting sqref="I205">
    <cfRule type="expression" dxfId="4" priority="1">
      <formula>I205="Принято"</formula>
    </cfRule>
    <cfRule type="expression" dxfId="3" priority="2">
      <formula>I205="Отклонено"</formula>
    </cfRule>
    <cfRule type="expression" dxfId="5" priority="3">
      <formula>I205="Отправлено"</formula>
    </cfRule>
  </conditionalFormatting>
  <conditionalFormatting sqref="H206">
    <cfRule type="expression" dxfId="2" priority="1">
      <formula>H206="Оплачено"</formula>
    </cfRule>
    <cfRule type="expression" dxfId="3" priority="2">
      <formula>H206="Не оплачено"</formula>
    </cfRule>
  </conditionalFormatting>
  <conditionalFormatting sqref="I206">
    <cfRule type="expression" dxfId="4" priority="1">
      <formula>I206="Принято"</formula>
    </cfRule>
    <cfRule type="expression" dxfId="3" priority="2">
      <formula>I206="Отклонено"</formula>
    </cfRule>
    <cfRule type="expression" dxfId="5" priority="3">
      <formula>I206="Отправлено"</formula>
    </cfRule>
  </conditionalFormatting>
  <conditionalFormatting sqref="H207">
    <cfRule type="expression" dxfId="2" priority="1">
      <formula>H207="Оплачено"</formula>
    </cfRule>
    <cfRule type="expression" dxfId="3" priority="2">
      <formula>H207="Не оплачено"</formula>
    </cfRule>
  </conditionalFormatting>
  <conditionalFormatting sqref="I207">
    <cfRule type="expression" dxfId="4" priority="1">
      <formula>I207="Принято"</formula>
    </cfRule>
    <cfRule type="expression" dxfId="3" priority="2">
      <formula>I207="Отклонено"</formula>
    </cfRule>
    <cfRule type="expression" dxfId="5" priority="3">
      <formula>I207="Отправлено"</formula>
    </cfRule>
  </conditionalFormatting>
  <conditionalFormatting sqref="H208">
    <cfRule type="expression" dxfId="2" priority="1">
      <formula>H208="Оплачено"</formula>
    </cfRule>
    <cfRule type="expression" dxfId="3" priority="2">
      <formula>H208="Не оплачено"</formula>
    </cfRule>
  </conditionalFormatting>
  <conditionalFormatting sqref="I208">
    <cfRule type="expression" dxfId="4" priority="1">
      <formula>I208="Принято"</formula>
    </cfRule>
    <cfRule type="expression" dxfId="3" priority="2">
      <formula>I208="Отклонено"</formula>
    </cfRule>
    <cfRule type="expression" dxfId="5" priority="3">
      <formula>I208="Отправлено"</formula>
    </cfRule>
  </conditionalFormatting>
  <conditionalFormatting sqref="H209">
    <cfRule type="expression" dxfId="2" priority="1">
      <formula>H209="Оплачено"</formula>
    </cfRule>
    <cfRule type="expression" dxfId="3" priority="2">
      <formula>H209="Не оплачено"</formula>
    </cfRule>
  </conditionalFormatting>
  <conditionalFormatting sqref="I209">
    <cfRule type="expression" dxfId="4" priority="1">
      <formula>I209="Принято"</formula>
    </cfRule>
    <cfRule type="expression" dxfId="3" priority="2">
      <formula>I209="Отклонено"</formula>
    </cfRule>
    <cfRule type="expression" dxfId="5" priority="3">
      <formula>I209="Отправлено"</formula>
    </cfRule>
  </conditionalFormatting>
  <conditionalFormatting sqref="H210">
    <cfRule type="expression" dxfId="2" priority="1">
      <formula>H210="Оплачено"</formula>
    </cfRule>
    <cfRule type="expression" dxfId="3" priority="2">
      <formula>H210="Не оплачено"</formula>
    </cfRule>
  </conditionalFormatting>
  <conditionalFormatting sqref="I210">
    <cfRule type="expression" dxfId="4" priority="1">
      <formula>I210="Принято"</formula>
    </cfRule>
    <cfRule type="expression" dxfId="3" priority="2">
      <formula>I210="Отклонено"</formula>
    </cfRule>
    <cfRule type="expression" dxfId="5" priority="3">
      <formula>I210="Отправлено"</formula>
    </cfRule>
  </conditionalFormatting>
  <conditionalFormatting sqref="H211">
    <cfRule type="expression" dxfId="2" priority="1">
      <formula>H211="Оплачено"</formula>
    </cfRule>
    <cfRule type="expression" dxfId="3" priority="2">
      <formula>H211="Не оплачено"</formula>
    </cfRule>
  </conditionalFormatting>
  <conditionalFormatting sqref="I211">
    <cfRule type="expression" dxfId="4" priority="1">
      <formula>I211="Принято"</formula>
    </cfRule>
    <cfRule type="expression" dxfId="3" priority="2">
      <formula>I211="Отклонено"</formula>
    </cfRule>
    <cfRule type="expression" dxfId="5" priority="3">
      <formula>I211="Отправлено"</formula>
    </cfRule>
  </conditionalFormatting>
  <conditionalFormatting sqref="H212">
    <cfRule type="expression" dxfId="2" priority="1">
      <formula>H212="Оплачено"</formula>
    </cfRule>
    <cfRule type="expression" dxfId="3" priority="2">
      <formula>H212="Не оплачено"</formula>
    </cfRule>
  </conditionalFormatting>
  <conditionalFormatting sqref="I212">
    <cfRule type="expression" dxfId="4" priority="1">
      <formula>I212="Принято"</formula>
    </cfRule>
    <cfRule type="expression" dxfId="3" priority="2">
      <formula>I212="Отклонено"</formula>
    </cfRule>
    <cfRule type="expression" dxfId="5" priority="3">
      <formula>I212="Отправлено"</formula>
    </cfRule>
  </conditionalFormatting>
  <conditionalFormatting sqref="H213">
    <cfRule type="expression" dxfId="2" priority="1">
      <formula>H213="Оплачено"</formula>
    </cfRule>
    <cfRule type="expression" dxfId="3" priority="2">
      <formula>H213="Не оплачено"</formula>
    </cfRule>
  </conditionalFormatting>
  <conditionalFormatting sqref="I213">
    <cfRule type="expression" dxfId="4" priority="1">
      <formula>I213="Принято"</formula>
    </cfRule>
    <cfRule type="expression" dxfId="3" priority="2">
      <formula>I213="Отклонено"</formula>
    </cfRule>
    <cfRule type="expression" dxfId="5" priority="3">
      <formula>I213="Отправлено"</formula>
    </cfRule>
  </conditionalFormatting>
  <conditionalFormatting sqref="H214">
    <cfRule type="expression" dxfId="2" priority="1">
      <formula>H214="Оплачено"</formula>
    </cfRule>
    <cfRule type="expression" dxfId="3" priority="2">
      <formula>H214="Не оплачено"</formula>
    </cfRule>
  </conditionalFormatting>
  <conditionalFormatting sqref="I214">
    <cfRule type="expression" dxfId="4" priority="1">
      <formula>I214="Принято"</formula>
    </cfRule>
    <cfRule type="expression" dxfId="3" priority="2">
      <formula>I214="Отклонено"</formula>
    </cfRule>
    <cfRule type="expression" dxfId="5" priority="3">
      <formula>I214="Отправлено"</formula>
    </cfRule>
  </conditionalFormatting>
  <conditionalFormatting sqref="H215">
    <cfRule type="expression" dxfId="2" priority="1">
      <formula>H215="Оплачено"</formula>
    </cfRule>
    <cfRule type="expression" dxfId="3" priority="2">
      <formula>H215="Не оплачено"</formula>
    </cfRule>
  </conditionalFormatting>
  <conditionalFormatting sqref="I215">
    <cfRule type="expression" dxfId="4" priority="1">
      <formula>I215="Принято"</formula>
    </cfRule>
    <cfRule type="expression" dxfId="3" priority="2">
      <formula>I215="Отклонено"</formula>
    </cfRule>
    <cfRule type="expression" dxfId="5" priority="3">
      <formula>I215="Отправлено"</formula>
    </cfRule>
  </conditionalFormatting>
  <conditionalFormatting sqref="H216">
    <cfRule type="expression" dxfId="2" priority="1">
      <formula>H216="Оплачено"</formula>
    </cfRule>
    <cfRule type="expression" dxfId="3" priority="2">
      <formula>H216="Не оплачено"</formula>
    </cfRule>
  </conditionalFormatting>
  <conditionalFormatting sqref="I216">
    <cfRule type="expression" dxfId="4" priority="1">
      <formula>I216="Принято"</formula>
    </cfRule>
    <cfRule type="expression" dxfId="3" priority="2">
      <formula>I216="Отклонено"</formula>
    </cfRule>
    <cfRule type="expression" dxfId="5" priority="3">
      <formula>I216="Отправлено"</formula>
    </cfRule>
  </conditionalFormatting>
  <conditionalFormatting sqref="H217">
    <cfRule type="expression" dxfId="2" priority="1">
      <formula>H217="Оплачено"</formula>
    </cfRule>
    <cfRule type="expression" dxfId="3" priority="2">
      <formula>H217="Не оплачено"</formula>
    </cfRule>
  </conditionalFormatting>
  <conditionalFormatting sqref="I217">
    <cfRule type="expression" dxfId="4" priority="1">
      <formula>I217="Принято"</formula>
    </cfRule>
    <cfRule type="expression" dxfId="3" priority="2">
      <formula>I217="Отклонено"</formula>
    </cfRule>
    <cfRule type="expression" dxfId="5" priority="3">
      <formula>I217="Отправлено"</formula>
    </cfRule>
  </conditionalFormatting>
  <conditionalFormatting sqref="H218">
    <cfRule type="expression" dxfId="2" priority="1">
      <formula>H218="Оплачено"</formula>
    </cfRule>
    <cfRule type="expression" dxfId="3" priority="2">
      <formula>H218="Не оплачено"</formula>
    </cfRule>
  </conditionalFormatting>
  <conditionalFormatting sqref="I218">
    <cfRule type="expression" dxfId="4" priority="1">
      <formula>I218="Принято"</formula>
    </cfRule>
    <cfRule type="expression" dxfId="3" priority="2">
      <formula>I218="Отклонено"</formula>
    </cfRule>
    <cfRule type="expression" dxfId="5" priority="3">
      <formula>I218="Отправлено"</formula>
    </cfRule>
  </conditionalFormatting>
  <conditionalFormatting sqref="H219">
    <cfRule type="expression" dxfId="2" priority="1">
      <formula>H219="Оплачено"</formula>
    </cfRule>
    <cfRule type="expression" dxfId="3" priority="2">
      <formula>H219="Не оплачено"</formula>
    </cfRule>
  </conditionalFormatting>
  <conditionalFormatting sqref="I219">
    <cfRule type="expression" dxfId="4" priority="1">
      <formula>I219="Принято"</formula>
    </cfRule>
    <cfRule type="expression" dxfId="3" priority="2">
      <formula>I219="Отклонено"</formula>
    </cfRule>
    <cfRule type="expression" dxfId="5" priority="3">
      <formula>I219="Отправлено"</formula>
    </cfRule>
  </conditionalFormatting>
  <conditionalFormatting sqref="H220">
    <cfRule type="expression" dxfId="2" priority="1">
      <formula>H220="Оплачено"</formula>
    </cfRule>
    <cfRule type="expression" dxfId="3" priority="2">
      <formula>H220="Не оплачено"</formula>
    </cfRule>
  </conditionalFormatting>
  <conditionalFormatting sqref="I220">
    <cfRule type="expression" dxfId="4" priority="1">
      <formula>I220="Принято"</formula>
    </cfRule>
    <cfRule type="expression" dxfId="3" priority="2">
      <formula>I220="Отклонено"</formula>
    </cfRule>
    <cfRule type="expression" dxfId="5" priority="3">
      <formula>I220="Отправлено"</formula>
    </cfRule>
  </conditionalFormatting>
  <conditionalFormatting sqref="H221">
    <cfRule type="expression" dxfId="2" priority="1">
      <formula>H221="Оплачено"</formula>
    </cfRule>
    <cfRule type="expression" dxfId="3" priority="2">
      <formula>H221="Не оплачено"</formula>
    </cfRule>
  </conditionalFormatting>
  <conditionalFormatting sqref="I221">
    <cfRule type="expression" dxfId="4" priority="1">
      <formula>I221="Принято"</formula>
    </cfRule>
    <cfRule type="expression" dxfId="3" priority="2">
      <formula>I221="Отклонено"</formula>
    </cfRule>
    <cfRule type="expression" dxfId="5" priority="3">
      <formula>I221="Отправлено"</formula>
    </cfRule>
  </conditionalFormatting>
  <conditionalFormatting sqref="H222">
    <cfRule type="expression" dxfId="2" priority="1">
      <formula>H222="Оплачено"</formula>
    </cfRule>
    <cfRule type="expression" dxfId="3" priority="2">
      <formula>H222="Не оплачено"</formula>
    </cfRule>
  </conditionalFormatting>
  <conditionalFormatting sqref="I222">
    <cfRule type="expression" dxfId="4" priority="1">
      <formula>I222="Принято"</formula>
    </cfRule>
    <cfRule type="expression" dxfId="3" priority="2">
      <formula>I222="Отклонено"</formula>
    </cfRule>
    <cfRule type="expression" dxfId="5" priority="3">
      <formula>I222="Отправлено"</formula>
    </cfRule>
  </conditionalFormatting>
  <conditionalFormatting sqref="H223">
    <cfRule type="expression" dxfId="2" priority="1">
      <formula>H223="Оплачено"</formula>
    </cfRule>
    <cfRule type="expression" dxfId="3" priority="2">
      <formula>H223="Не оплачено"</formula>
    </cfRule>
  </conditionalFormatting>
  <conditionalFormatting sqref="I223">
    <cfRule type="expression" dxfId="4" priority="1">
      <formula>I223="Принято"</formula>
    </cfRule>
    <cfRule type="expression" dxfId="3" priority="2">
      <formula>I223="Отклонено"</formula>
    </cfRule>
    <cfRule type="expression" dxfId="5" priority="3">
      <formula>I223="Отправлено"</formula>
    </cfRule>
  </conditionalFormatting>
  <conditionalFormatting sqref="H224">
    <cfRule type="expression" dxfId="2" priority="1">
      <formula>H224="Оплачено"</formula>
    </cfRule>
    <cfRule type="expression" dxfId="3" priority="2">
      <formula>H224="Не оплачено"</formula>
    </cfRule>
  </conditionalFormatting>
  <conditionalFormatting sqref="I224">
    <cfRule type="expression" dxfId="4" priority="1">
      <formula>I224="Принято"</formula>
    </cfRule>
    <cfRule type="expression" dxfId="3" priority="2">
      <formula>I224="Отклонено"</formula>
    </cfRule>
    <cfRule type="expression" dxfId="5" priority="3">
      <formula>I224="Отправлено"</formula>
    </cfRule>
  </conditionalFormatting>
  <conditionalFormatting sqref="H225">
    <cfRule type="expression" dxfId="2" priority="1">
      <formula>H225="Оплачено"</formula>
    </cfRule>
    <cfRule type="expression" dxfId="3" priority="2">
      <formula>H225="Не оплачено"</formula>
    </cfRule>
  </conditionalFormatting>
  <conditionalFormatting sqref="I225">
    <cfRule type="expression" dxfId="4" priority="1">
      <formula>I225="Принято"</formula>
    </cfRule>
    <cfRule type="expression" dxfId="3" priority="2">
      <formula>I225="Отклонено"</formula>
    </cfRule>
    <cfRule type="expression" dxfId="5" priority="3">
      <formula>I225="Отправлено"</formula>
    </cfRule>
  </conditionalFormatting>
  <conditionalFormatting sqref="H226">
    <cfRule type="expression" dxfId="2" priority="1">
      <formula>H226="Оплачено"</formula>
    </cfRule>
    <cfRule type="expression" dxfId="3" priority="2">
      <formula>H226="Не оплачено"</formula>
    </cfRule>
  </conditionalFormatting>
  <conditionalFormatting sqref="I226">
    <cfRule type="expression" dxfId="4" priority="1">
      <formula>I226="Принято"</formula>
    </cfRule>
    <cfRule type="expression" dxfId="3" priority="2">
      <formula>I226="Отклонено"</formula>
    </cfRule>
    <cfRule type="expression" dxfId="5" priority="3">
      <formula>I226="Отправлено"</formula>
    </cfRule>
  </conditionalFormatting>
  <conditionalFormatting sqref="H227">
    <cfRule type="expression" dxfId="2" priority="1">
      <formula>H227="Оплачено"</formula>
    </cfRule>
    <cfRule type="expression" dxfId="3" priority="2">
      <formula>H227="Не оплачено"</formula>
    </cfRule>
  </conditionalFormatting>
  <conditionalFormatting sqref="I227">
    <cfRule type="expression" dxfId="4" priority="1">
      <formula>I227="Принято"</formula>
    </cfRule>
    <cfRule type="expression" dxfId="3" priority="2">
      <formula>I227="Отклонено"</formula>
    </cfRule>
    <cfRule type="expression" dxfId="5" priority="3">
      <formula>I227="Отправлено"</formula>
    </cfRule>
  </conditionalFormatting>
  <conditionalFormatting sqref="H228">
    <cfRule type="expression" dxfId="2" priority="1">
      <formula>H228="Оплачено"</formula>
    </cfRule>
    <cfRule type="expression" dxfId="3" priority="2">
      <formula>H228="Не оплачено"</formula>
    </cfRule>
  </conditionalFormatting>
  <conditionalFormatting sqref="I228">
    <cfRule type="expression" dxfId="4" priority="1">
      <formula>I228="Принято"</formula>
    </cfRule>
    <cfRule type="expression" dxfId="3" priority="2">
      <formula>I228="Отклонено"</formula>
    </cfRule>
    <cfRule type="expression" dxfId="5" priority="3">
      <formula>I228="Отправлено"</formula>
    </cfRule>
  </conditionalFormatting>
  <conditionalFormatting sqref="H229">
    <cfRule type="expression" dxfId="2" priority="1">
      <formula>H229="Оплачено"</formula>
    </cfRule>
    <cfRule type="expression" dxfId="3" priority="2">
      <formula>H229="Не оплачено"</formula>
    </cfRule>
  </conditionalFormatting>
  <conditionalFormatting sqref="I229">
    <cfRule type="expression" dxfId="4" priority="1">
      <formula>I229="Принято"</formula>
    </cfRule>
    <cfRule type="expression" dxfId="3" priority="2">
      <formula>I229="Отклонено"</formula>
    </cfRule>
    <cfRule type="expression" dxfId="5" priority="3">
      <formula>I229="Отправлено"</formula>
    </cfRule>
  </conditionalFormatting>
  <conditionalFormatting sqref="H230">
    <cfRule type="expression" dxfId="2" priority="1">
      <formula>H230="Оплачено"</formula>
    </cfRule>
    <cfRule type="expression" dxfId="3" priority="2">
      <formula>H230="Не оплачено"</formula>
    </cfRule>
  </conditionalFormatting>
  <conditionalFormatting sqref="I230">
    <cfRule type="expression" dxfId="4" priority="1">
      <formula>I230="Принято"</formula>
    </cfRule>
    <cfRule type="expression" dxfId="3" priority="2">
      <formula>I230="Отклонено"</formula>
    </cfRule>
    <cfRule type="expression" dxfId="5" priority="3">
      <formula>I230="Отправлено"</formula>
    </cfRule>
  </conditionalFormatting>
  <conditionalFormatting sqref="H231">
    <cfRule type="expression" dxfId="2" priority="1">
      <formula>H231="Оплачено"</formula>
    </cfRule>
    <cfRule type="expression" dxfId="3" priority="2">
      <formula>H231="Не оплачено"</formula>
    </cfRule>
  </conditionalFormatting>
  <conditionalFormatting sqref="I231">
    <cfRule type="expression" dxfId="4" priority="1">
      <formula>I231="Принято"</formula>
    </cfRule>
    <cfRule type="expression" dxfId="3" priority="2">
      <formula>I231="Отклонено"</formula>
    </cfRule>
    <cfRule type="expression" dxfId="5" priority="3">
      <formula>I231="Отправлено"</formula>
    </cfRule>
  </conditionalFormatting>
  <conditionalFormatting sqref="H232">
    <cfRule type="expression" dxfId="2" priority="1">
      <formula>H232="Оплачено"</formula>
    </cfRule>
    <cfRule type="expression" dxfId="3" priority="2">
      <formula>H232="Не оплачено"</formula>
    </cfRule>
  </conditionalFormatting>
  <conditionalFormatting sqref="I232">
    <cfRule type="expression" dxfId="4" priority="1">
      <formula>I232="Принято"</formula>
    </cfRule>
    <cfRule type="expression" dxfId="3" priority="2">
      <formula>I232="Отклонено"</formula>
    </cfRule>
    <cfRule type="expression" dxfId="5" priority="3">
      <formula>I232="Отправлено"</formula>
    </cfRule>
  </conditionalFormatting>
  <conditionalFormatting sqref="H233">
    <cfRule type="expression" dxfId="2" priority="1">
      <formula>H233="Оплачено"</formula>
    </cfRule>
    <cfRule type="expression" dxfId="3" priority="2">
      <formula>H233="Не оплачено"</formula>
    </cfRule>
  </conditionalFormatting>
  <conditionalFormatting sqref="I233">
    <cfRule type="expression" dxfId="4" priority="1">
      <formula>I233="Принято"</formula>
    </cfRule>
    <cfRule type="expression" dxfId="3" priority="2">
      <formula>I233="Отклонено"</formula>
    </cfRule>
    <cfRule type="expression" dxfId="5" priority="3">
      <formula>I233="Отправлено"</formula>
    </cfRule>
  </conditionalFormatting>
  <conditionalFormatting sqref="H234">
    <cfRule type="expression" dxfId="2" priority="1">
      <formula>H234="Оплачено"</formula>
    </cfRule>
    <cfRule type="expression" dxfId="3" priority="2">
      <formula>H234="Не оплачено"</formula>
    </cfRule>
  </conditionalFormatting>
  <conditionalFormatting sqref="I234">
    <cfRule type="expression" dxfId="4" priority="1">
      <formula>I234="Принято"</formula>
    </cfRule>
    <cfRule type="expression" dxfId="3" priority="2">
      <formula>I234="Отклонено"</formula>
    </cfRule>
    <cfRule type="expression" dxfId="5" priority="3">
      <formula>I234="Отправлено"</formula>
    </cfRule>
  </conditionalFormatting>
  <conditionalFormatting sqref="H235">
    <cfRule type="expression" dxfId="2" priority="1">
      <formula>H235="Оплачено"</formula>
    </cfRule>
    <cfRule type="expression" dxfId="3" priority="2">
      <formula>H235="Не оплачено"</formula>
    </cfRule>
  </conditionalFormatting>
  <conditionalFormatting sqref="I235">
    <cfRule type="expression" dxfId="4" priority="1">
      <formula>I235="Принято"</formula>
    </cfRule>
    <cfRule type="expression" dxfId="3" priority="2">
      <formula>I235="Отклонено"</formula>
    </cfRule>
    <cfRule type="expression" dxfId="5" priority="3">
      <formula>I235="Отправлено"</formula>
    </cfRule>
  </conditionalFormatting>
  <conditionalFormatting sqref="H236">
    <cfRule type="expression" dxfId="2" priority="1">
      <formula>H236="Оплачено"</formula>
    </cfRule>
    <cfRule type="expression" dxfId="3" priority="2">
      <formula>H236="Не оплачено"</formula>
    </cfRule>
  </conditionalFormatting>
  <conditionalFormatting sqref="I236">
    <cfRule type="expression" dxfId="4" priority="1">
      <formula>I236="Принято"</formula>
    </cfRule>
    <cfRule type="expression" dxfId="3" priority="2">
      <formula>I236="Отклонено"</formula>
    </cfRule>
    <cfRule type="expression" dxfId="5" priority="3">
      <formula>I236="Отправлено"</formula>
    </cfRule>
  </conditionalFormatting>
  <conditionalFormatting sqref="H237">
    <cfRule type="expression" dxfId="2" priority="1">
      <formula>H237="Оплачено"</formula>
    </cfRule>
    <cfRule type="expression" dxfId="3" priority="2">
      <formula>H237="Не оплачено"</formula>
    </cfRule>
  </conditionalFormatting>
  <conditionalFormatting sqref="I237">
    <cfRule type="expression" dxfId="4" priority="1">
      <formula>I237="Принято"</formula>
    </cfRule>
    <cfRule type="expression" dxfId="3" priority="2">
      <formula>I237="Отклонено"</formula>
    </cfRule>
    <cfRule type="expression" dxfId="5" priority="3">
      <formula>I237="Отправлено"</formula>
    </cfRule>
  </conditionalFormatting>
  <conditionalFormatting sqref="H238">
    <cfRule type="expression" dxfId="2" priority="1">
      <formula>H238="Оплачено"</formula>
    </cfRule>
    <cfRule type="expression" dxfId="3" priority="2">
      <formula>H238="Не оплачено"</formula>
    </cfRule>
  </conditionalFormatting>
  <conditionalFormatting sqref="I238">
    <cfRule type="expression" dxfId="4" priority="1">
      <formula>I238="Принято"</formula>
    </cfRule>
    <cfRule type="expression" dxfId="3" priority="2">
      <formula>I238="Отклонено"</formula>
    </cfRule>
    <cfRule type="expression" dxfId="5" priority="3">
      <formula>I238="Отправлено"</formula>
    </cfRule>
  </conditionalFormatting>
  <conditionalFormatting sqref="H239">
    <cfRule type="expression" dxfId="2" priority="1">
      <formula>H239="Оплачено"</formula>
    </cfRule>
    <cfRule type="expression" dxfId="3" priority="2">
      <formula>H239="Не оплачено"</formula>
    </cfRule>
  </conditionalFormatting>
  <conditionalFormatting sqref="I239">
    <cfRule type="expression" dxfId="4" priority="1">
      <formula>I239="Принято"</formula>
    </cfRule>
    <cfRule type="expression" dxfId="3" priority="2">
      <formula>I239="Отклонено"</formula>
    </cfRule>
    <cfRule type="expression" dxfId="5" priority="3">
      <formula>I239="Отправлено"</formula>
    </cfRule>
  </conditionalFormatting>
  <conditionalFormatting sqref="H240">
    <cfRule type="expression" dxfId="2" priority="1">
      <formula>H240="Оплачено"</formula>
    </cfRule>
    <cfRule type="expression" dxfId="3" priority="2">
      <formula>H240="Не оплачено"</formula>
    </cfRule>
  </conditionalFormatting>
  <conditionalFormatting sqref="I240">
    <cfRule type="expression" dxfId="4" priority="1">
      <formula>I240="Принято"</formula>
    </cfRule>
    <cfRule type="expression" dxfId="3" priority="2">
      <formula>I240="Отклонено"</formula>
    </cfRule>
    <cfRule type="expression" dxfId="5" priority="3">
      <formula>I240="Отправлено"</formula>
    </cfRule>
  </conditionalFormatting>
  <conditionalFormatting sqref="H241">
    <cfRule type="expression" dxfId="2" priority="1">
      <formula>H241="Оплачено"</formula>
    </cfRule>
    <cfRule type="expression" dxfId="3" priority="2">
      <formula>H241="Не оплачено"</formula>
    </cfRule>
  </conditionalFormatting>
  <conditionalFormatting sqref="I241">
    <cfRule type="expression" dxfId="4" priority="1">
      <formula>I241="Принято"</formula>
    </cfRule>
    <cfRule type="expression" dxfId="3" priority="2">
      <formula>I241="Отклонено"</formula>
    </cfRule>
    <cfRule type="expression" dxfId="5" priority="3">
      <formula>I241="Отправлено"</formula>
    </cfRule>
  </conditionalFormatting>
  <conditionalFormatting sqref="H242">
    <cfRule type="expression" dxfId="2" priority="1">
      <formula>H242="Оплачено"</formula>
    </cfRule>
    <cfRule type="expression" dxfId="3" priority="2">
      <formula>H242="Не оплачено"</formula>
    </cfRule>
  </conditionalFormatting>
  <conditionalFormatting sqref="I242">
    <cfRule type="expression" dxfId="4" priority="1">
      <formula>I242="Принято"</formula>
    </cfRule>
    <cfRule type="expression" dxfId="3" priority="2">
      <formula>I242="Отклонено"</formula>
    </cfRule>
    <cfRule type="expression" dxfId="5" priority="3">
      <formula>I242="Отправлено"</formula>
    </cfRule>
  </conditionalFormatting>
  <conditionalFormatting sqref="H243">
    <cfRule type="expression" dxfId="2" priority="1">
      <formula>H243="Оплачено"</formula>
    </cfRule>
    <cfRule type="expression" dxfId="3" priority="2">
      <formula>H243="Не оплачено"</formula>
    </cfRule>
  </conditionalFormatting>
  <conditionalFormatting sqref="I243">
    <cfRule type="expression" dxfId="4" priority="1">
      <formula>I243="Принято"</formula>
    </cfRule>
    <cfRule type="expression" dxfId="3" priority="2">
      <formula>I243="Отклонено"</formula>
    </cfRule>
    <cfRule type="expression" dxfId="5" priority="3">
      <formula>I243="Отправлено"</formula>
    </cfRule>
  </conditionalFormatting>
  <conditionalFormatting sqref="H244">
    <cfRule type="expression" dxfId="2" priority="1">
      <formula>H244="Оплачено"</formula>
    </cfRule>
    <cfRule type="expression" dxfId="3" priority="2">
      <formula>H244="Не оплачено"</formula>
    </cfRule>
  </conditionalFormatting>
  <conditionalFormatting sqref="I244">
    <cfRule type="expression" dxfId="4" priority="1">
      <formula>I244="Принято"</formula>
    </cfRule>
    <cfRule type="expression" dxfId="3" priority="2">
      <formula>I244="Отклонено"</formula>
    </cfRule>
    <cfRule type="expression" dxfId="5" priority="3">
      <formula>I244="Отправлено"</formula>
    </cfRule>
  </conditionalFormatting>
  <conditionalFormatting sqref="H245">
    <cfRule type="expression" dxfId="2" priority="1">
      <formula>H245="Оплачено"</formula>
    </cfRule>
    <cfRule type="expression" dxfId="3" priority="2">
      <formula>H245="Не оплачено"</formula>
    </cfRule>
  </conditionalFormatting>
  <conditionalFormatting sqref="I245">
    <cfRule type="expression" dxfId="4" priority="1">
      <formula>I245="Принято"</formula>
    </cfRule>
    <cfRule type="expression" dxfId="3" priority="2">
      <formula>I245="Отклонено"</formula>
    </cfRule>
    <cfRule type="expression" dxfId="5" priority="3">
      <formula>I245="Отправлено"</formula>
    </cfRule>
  </conditionalFormatting>
  <conditionalFormatting sqref="H246">
    <cfRule type="expression" dxfId="2" priority="1">
      <formula>H246="Оплачено"</formula>
    </cfRule>
    <cfRule type="expression" dxfId="3" priority="2">
      <formula>H246="Не оплачено"</formula>
    </cfRule>
  </conditionalFormatting>
  <conditionalFormatting sqref="I246">
    <cfRule type="expression" dxfId="4" priority="1">
      <formula>I246="Принято"</formula>
    </cfRule>
    <cfRule type="expression" dxfId="3" priority="2">
      <formula>I246="Отклонено"</formula>
    </cfRule>
    <cfRule type="expression" dxfId="5" priority="3">
      <formula>I246="Отправлено"</formula>
    </cfRule>
  </conditionalFormatting>
  <conditionalFormatting sqref="H247">
    <cfRule type="expression" dxfId="2" priority="1">
      <formula>H247="Оплачено"</formula>
    </cfRule>
    <cfRule type="expression" dxfId="3" priority="2">
      <formula>H247="Не оплачено"</formula>
    </cfRule>
  </conditionalFormatting>
  <conditionalFormatting sqref="I247">
    <cfRule type="expression" dxfId="4" priority="1">
      <formula>I247="Принято"</formula>
    </cfRule>
    <cfRule type="expression" dxfId="3" priority="2">
      <formula>I247="Отклонено"</formula>
    </cfRule>
    <cfRule type="expression" dxfId="5" priority="3">
      <formula>I247="Отправлено"</formula>
    </cfRule>
  </conditionalFormatting>
  <conditionalFormatting sqref="H248">
    <cfRule type="expression" dxfId="2" priority="1">
      <formula>H248="Оплачено"</formula>
    </cfRule>
    <cfRule type="expression" dxfId="3" priority="2">
      <formula>H248="Не оплачено"</formula>
    </cfRule>
  </conditionalFormatting>
  <conditionalFormatting sqref="I248">
    <cfRule type="expression" dxfId="4" priority="1">
      <formula>I248="Принято"</formula>
    </cfRule>
    <cfRule type="expression" dxfId="3" priority="2">
      <formula>I248="Отклонено"</formula>
    </cfRule>
    <cfRule type="expression" dxfId="5" priority="3">
      <formula>I248="Отправлено"</formula>
    </cfRule>
  </conditionalFormatting>
  <conditionalFormatting sqref="H249">
    <cfRule type="expression" dxfId="2" priority="1">
      <formula>H249="Оплачено"</formula>
    </cfRule>
    <cfRule type="expression" dxfId="3" priority="2">
      <formula>H249="Не оплачено"</formula>
    </cfRule>
  </conditionalFormatting>
  <conditionalFormatting sqref="I249">
    <cfRule type="expression" dxfId="4" priority="1">
      <formula>I249="Принято"</formula>
    </cfRule>
    <cfRule type="expression" dxfId="3" priority="2">
      <formula>I249="Отклонено"</formula>
    </cfRule>
    <cfRule type="expression" dxfId="5" priority="3">
      <formula>I249="Отправлено"</formula>
    </cfRule>
  </conditionalFormatting>
  <conditionalFormatting sqref="H250">
    <cfRule type="expression" dxfId="2" priority="1">
      <formula>H250="Оплачено"</formula>
    </cfRule>
    <cfRule type="expression" dxfId="3" priority="2">
      <formula>H250="Не оплачено"</formula>
    </cfRule>
  </conditionalFormatting>
  <conditionalFormatting sqref="I250">
    <cfRule type="expression" dxfId="4" priority="1">
      <formula>I250="Принято"</formula>
    </cfRule>
    <cfRule type="expression" dxfId="3" priority="2">
      <formula>I250="Отклонено"</formula>
    </cfRule>
    <cfRule type="expression" dxfId="5" priority="3">
      <formula>I250="Отправлено"</formula>
    </cfRule>
  </conditionalFormatting>
  <conditionalFormatting sqref="H251">
    <cfRule type="expression" dxfId="2" priority="1">
      <formula>H251="Оплачено"</formula>
    </cfRule>
    <cfRule type="expression" dxfId="3" priority="2">
      <formula>H251="Не оплачено"</formula>
    </cfRule>
  </conditionalFormatting>
  <conditionalFormatting sqref="I251">
    <cfRule type="expression" dxfId="4" priority="1">
      <formula>I251="Принято"</formula>
    </cfRule>
    <cfRule type="expression" dxfId="3" priority="2">
      <formula>I251="Отклонено"</formula>
    </cfRule>
    <cfRule type="expression" dxfId="5" priority="3">
      <formula>I251="Отправлено"</formula>
    </cfRule>
  </conditionalFormatting>
  <conditionalFormatting sqref="H252">
    <cfRule type="expression" dxfId="2" priority="1">
      <formula>H252="Оплачено"</formula>
    </cfRule>
    <cfRule type="expression" dxfId="3" priority="2">
      <formula>H252="Не оплачено"</formula>
    </cfRule>
  </conditionalFormatting>
  <conditionalFormatting sqref="I252">
    <cfRule type="expression" dxfId="4" priority="1">
      <formula>I252="Принято"</formula>
    </cfRule>
    <cfRule type="expression" dxfId="3" priority="2">
      <formula>I252="Отклонено"</formula>
    </cfRule>
    <cfRule type="expression" dxfId="5" priority="3">
      <formula>I252="Отправлено"</formula>
    </cfRule>
  </conditionalFormatting>
  <conditionalFormatting sqref="H253">
    <cfRule type="expression" dxfId="2" priority="1">
      <formula>H253="Оплачено"</formula>
    </cfRule>
    <cfRule type="expression" dxfId="3" priority="2">
      <formula>H253="Не оплачено"</formula>
    </cfRule>
  </conditionalFormatting>
  <conditionalFormatting sqref="I253">
    <cfRule type="expression" dxfId="4" priority="1">
      <formula>I253="Принято"</formula>
    </cfRule>
    <cfRule type="expression" dxfId="3" priority="2">
      <formula>I253="Отклонено"</formula>
    </cfRule>
    <cfRule type="expression" dxfId="5" priority="3">
      <formula>I253="Отправлено"</formula>
    </cfRule>
  </conditionalFormatting>
  <conditionalFormatting sqref="H254">
    <cfRule type="expression" dxfId="2" priority="1">
      <formula>H254="Оплачено"</formula>
    </cfRule>
    <cfRule type="expression" dxfId="3" priority="2">
      <formula>H254="Не оплачено"</formula>
    </cfRule>
  </conditionalFormatting>
  <conditionalFormatting sqref="I254">
    <cfRule type="expression" dxfId="4" priority="1">
      <formula>I254="Принято"</formula>
    </cfRule>
    <cfRule type="expression" dxfId="3" priority="2">
      <formula>I254="Отклонено"</formula>
    </cfRule>
    <cfRule type="expression" dxfId="5" priority="3">
      <formula>I254="Отправлено"</formula>
    </cfRule>
  </conditionalFormatting>
  <conditionalFormatting sqref="H255">
    <cfRule type="expression" dxfId="2" priority="1">
      <formula>H255="Оплачено"</formula>
    </cfRule>
    <cfRule type="expression" dxfId="3" priority="2">
      <formula>H255="Не оплачено"</formula>
    </cfRule>
  </conditionalFormatting>
  <conditionalFormatting sqref="I255">
    <cfRule type="expression" dxfId="4" priority="1">
      <formula>I255="Принято"</formula>
    </cfRule>
    <cfRule type="expression" dxfId="3" priority="2">
      <formula>I255="Отклонено"</formula>
    </cfRule>
    <cfRule type="expression" dxfId="5" priority="3">
      <formula>I255="Отправлено"</formula>
    </cfRule>
  </conditionalFormatting>
  <conditionalFormatting sqref="H256">
    <cfRule type="expression" dxfId="2" priority="1">
      <formula>H256="Оплачено"</formula>
    </cfRule>
    <cfRule type="expression" dxfId="3" priority="2">
      <formula>H256="Не оплачено"</formula>
    </cfRule>
  </conditionalFormatting>
  <conditionalFormatting sqref="I256">
    <cfRule type="expression" dxfId="4" priority="1">
      <formula>I256="Принято"</formula>
    </cfRule>
    <cfRule type="expression" dxfId="3" priority="2">
      <formula>I256="Отклонено"</formula>
    </cfRule>
    <cfRule type="expression" dxfId="5" priority="3">
      <formula>I256="Отправлено"</formula>
    </cfRule>
  </conditionalFormatting>
  <conditionalFormatting sqref="H257">
    <cfRule type="expression" dxfId="2" priority="1">
      <formula>H257="Оплачено"</formula>
    </cfRule>
    <cfRule type="expression" dxfId="3" priority="2">
      <formula>H257="Не оплачено"</formula>
    </cfRule>
  </conditionalFormatting>
  <conditionalFormatting sqref="I257">
    <cfRule type="expression" dxfId="4" priority="1">
      <formula>I257="Принято"</formula>
    </cfRule>
    <cfRule type="expression" dxfId="3" priority="2">
      <formula>I257="Отклонено"</formula>
    </cfRule>
    <cfRule type="expression" dxfId="5" priority="3">
      <formula>I257="Отправлено"</formula>
    </cfRule>
  </conditionalFormatting>
  <conditionalFormatting sqref="H258">
    <cfRule type="expression" dxfId="2" priority="1">
      <formula>H258="Оплачено"</formula>
    </cfRule>
    <cfRule type="expression" dxfId="3" priority="2">
      <formula>H258="Не оплачено"</formula>
    </cfRule>
  </conditionalFormatting>
  <conditionalFormatting sqref="I258">
    <cfRule type="expression" dxfId="4" priority="1">
      <formula>I258="Принято"</formula>
    </cfRule>
    <cfRule type="expression" dxfId="3" priority="2">
      <formula>I258="Отклонено"</formula>
    </cfRule>
    <cfRule type="expression" dxfId="5" priority="3">
      <formula>I258="Отправлено"</formula>
    </cfRule>
  </conditionalFormatting>
  <conditionalFormatting sqref="H259">
    <cfRule type="expression" dxfId="2" priority="1">
      <formula>H259="Оплачено"</formula>
    </cfRule>
    <cfRule type="expression" dxfId="3" priority="2">
      <formula>H259="Не оплачено"</formula>
    </cfRule>
  </conditionalFormatting>
  <conditionalFormatting sqref="I259">
    <cfRule type="expression" dxfId="4" priority="1">
      <formula>I259="Принято"</formula>
    </cfRule>
    <cfRule type="expression" dxfId="3" priority="2">
      <formula>I259="Отклонено"</formula>
    </cfRule>
    <cfRule type="expression" dxfId="5" priority="3">
      <formula>I259="Отправлено"</formula>
    </cfRule>
  </conditionalFormatting>
  <conditionalFormatting sqref="H260">
    <cfRule type="expression" dxfId="2" priority="1">
      <formula>H260="Оплачено"</formula>
    </cfRule>
    <cfRule type="expression" dxfId="3" priority="2">
      <formula>H260="Не оплачено"</formula>
    </cfRule>
  </conditionalFormatting>
  <conditionalFormatting sqref="I260">
    <cfRule type="expression" dxfId="4" priority="1">
      <formula>I260="Принято"</formula>
    </cfRule>
    <cfRule type="expression" dxfId="3" priority="2">
      <formula>I260="Отклонено"</formula>
    </cfRule>
    <cfRule type="expression" dxfId="5" priority="3">
      <formula>I260="Отправлено"</formula>
    </cfRule>
  </conditionalFormatting>
  <conditionalFormatting sqref="H261">
    <cfRule type="expression" dxfId="2" priority="1">
      <formula>H261="Оплачено"</formula>
    </cfRule>
    <cfRule type="expression" dxfId="3" priority="2">
      <formula>H261="Не оплачено"</formula>
    </cfRule>
  </conditionalFormatting>
  <conditionalFormatting sqref="I261">
    <cfRule type="expression" dxfId="4" priority="1">
      <formula>I261="Принято"</formula>
    </cfRule>
    <cfRule type="expression" dxfId="3" priority="2">
      <formula>I261="Отклонено"</formula>
    </cfRule>
    <cfRule type="expression" dxfId="5" priority="3">
      <formula>I261="Отправлено"</formula>
    </cfRule>
  </conditionalFormatting>
  <conditionalFormatting sqref="H262">
    <cfRule type="expression" dxfId="2" priority="1">
      <formula>H262="Оплачено"</formula>
    </cfRule>
    <cfRule type="expression" dxfId="3" priority="2">
      <formula>H262="Не оплачено"</formula>
    </cfRule>
  </conditionalFormatting>
  <conditionalFormatting sqref="I262">
    <cfRule type="expression" dxfId="4" priority="1">
      <formula>I262="Принято"</formula>
    </cfRule>
    <cfRule type="expression" dxfId="3" priority="2">
      <formula>I262="Отклонено"</formula>
    </cfRule>
    <cfRule type="expression" dxfId="5" priority="3">
      <formula>I262="Отправлено"</formula>
    </cfRule>
  </conditionalFormatting>
  <conditionalFormatting sqref="H263">
    <cfRule type="expression" dxfId="2" priority="1">
      <formula>H263="Оплачено"</formula>
    </cfRule>
    <cfRule type="expression" dxfId="3" priority="2">
      <formula>H263="Не оплачено"</formula>
    </cfRule>
  </conditionalFormatting>
  <conditionalFormatting sqref="I263">
    <cfRule type="expression" dxfId="4" priority="1">
      <formula>I263="Принято"</formula>
    </cfRule>
    <cfRule type="expression" dxfId="3" priority="2">
      <formula>I263="Отклонено"</formula>
    </cfRule>
    <cfRule type="expression" dxfId="5" priority="3">
      <formula>I263="Отправлено"</formula>
    </cfRule>
  </conditionalFormatting>
  <conditionalFormatting sqref="H264">
    <cfRule type="expression" dxfId="2" priority="1">
      <formula>H264="Оплачено"</formula>
    </cfRule>
    <cfRule type="expression" dxfId="3" priority="2">
      <formula>H264="Не оплачено"</formula>
    </cfRule>
  </conditionalFormatting>
  <conditionalFormatting sqref="I264">
    <cfRule type="expression" dxfId="4" priority="1">
      <formula>I264="Принято"</formula>
    </cfRule>
    <cfRule type="expression" dxfId="3" priority="2">
      <formula>I264="Отклонено"</formula>
    </cfRule>
    <cfRule type="expression" dxfId="5" priority="3">
      <formula>I264="Отправлено"</formula>
    </cfRule>
  </conditionalFormatting>
  <conditionalFormatting sqref="H265">
    <cfRule type="expression" dxfId="2" priority="1">
      <formula>H265="Оплачено"</formula>
    </cfRule>
    <cfRule type="expression" dxfId="3" priority="2">
      <formula>H265="Не оплачено"</formula>
    </cfRule>
  </conditionalFormatting>
  <conditionalFormatting sqref="I265">
    <cfRule type="expression" dxfId="4" priority="1">
      <formula>I265="Принято"</formula>
    </cfRule>
    <cfRule type="expression" dxfId="3" priority="2">
      <formula>I265="Отклонено"</formula>
    </cfRule>
    <cfRule type="expression" dxfId="5" priority="3">
      <formula>I265="Отправлено"</formula>
    </cfRule>
  </conditionalFormatting>
  <conditionalFormatting sqref="H266">
    <cfRule type="expression" dxfId="2" priority="1">
      <formula>H266="Оплачено"</formula>
    </cfRule>
    <cfRule type="expression" dxfId="3" priority="2">
      <formula>H266="Не оплачено"</formula>
    </cfRule>
  </conditionalFormatting>
  <conditionalFormatting sqref="I266">
    <cfRule type="expression" dxfId="4" priority="1">
      <formula>I266="Принято"</formula>
    </cfRule>
    <cfRule type="expression" dxfId="3" priority="2">
      <formula>I266="Отклонено"</formula>
    </cfRule>
    <cfRule type="expression" dxfId="5" priority="3">
      <formula>I266="Отправлено"</formula>
    </cfRule>
  </conditionalFormatting>
  <conditionalFormatting sqref="H267">
    <cfRule type="expression" dxfId="2" priority="1">
      <formula>H267="Оплачено"</formula>
    </cfRule>
    <cfRule type="expression" dxfId="3" priority="2">
      <formula>H267="Не оплачено"</formula>
    </cfRule>
  </conditionalFormatting>
  <conditionalFormatting sqref="I267">
    <cfRule type="expression" dxfId="4" priority="1">
      <formula>I267="Принято"</formula>
    </cfRule>
    <cfRule type="expression" dxfId="3" priority="2">
      <formula>I267="Отклонено"</formula>
    </cfRule>
    <cfRule type="expression" dxfId="5" priority="3">
      <formula>I267="Отправлено"</formula>
    </cfRule>
  </conditionalFormatting>
  <conditionalFormatting sqref="H268">
    <cfRule type="expression" dxfId="2" priority="1">
      <formula>H268="Оплачено"</formula>
    </cfRule>
    <cfRule type="expression" dxfId="3" priority="2">
      <formula>H268="Не оплачено"</formula>
    </cfRule>
  </conditionalFormatting>
  <conditionalFormatting sqref="I268">
    <cfRule type="expression" dxfId="4" priority="1">
      <formula>I268="Принято"</formula>
    </cfRule>
    <cfRule type="expression" dxfId="3" priority="2">
      <formula>I268="Отклонено"</formula>
    </cfRule>
    <cfRule type="expression" dxfId="5" priority="3">
      <formula>I268="Отправлено"</formula>
    </cfRule>
  </conditionalFormatting>
  <conditionalFormatting sqref="H269">
    <cfRule type="expression" dxfId="2" priority="1">
      <formula>H269="Оплачено"</formula>
    </cfRule>
    <cfRule type="expression" dxfId="3" priority="2">
      <formula>H269="Не оплачено"</formula>
    </cfRule>
  </conditionalFormatting>
  <conditionalFormatting sqref="I269">
    <cfRule type="expression" dxfId="4" priority="1">
      <formula>I269="Принято"</formula>
    </cfRule>
    <cfRule type="expression" dxfId="3" priority="2">
      <formula>I269="Отклонено"</formula>
    </cfRule>
    <cfRule type="expression" dxfId="5" priority="3">
      <formula>I269="Отправлено"</formula>
    </cfRule>
  </conditionalFormatting>
  <conditionalFormatting sqref="H270">
    <cfRule type="expression" dxfId="2" priority="1">
      <formula>H270="Оплачено"</formula>
    </cfRule>
    <cfRule type="expression" dxfId="3" priority="2">
      <formula>H270="Не оплачено"</formula>
    </cfRule>
  </conditionalFormatting>
  <conditionalFormatting sqref="I270">
    <cfRule type="expression" dxfId="4" priority="1">
      <formula>I270="Принято"</formula>
    </cfRule>
    <cfRule type="expression" dxfId="3" priority="2">
      <formula>I270="Отклонено"</formula>
    </cfRule>
    <cfRule type="expression" dxfId="5" priority="3">
      <formula>I270="Отправлено"</formula>
    </cfRule>
  </conditionalFormatting>
  <conditionalFormatting sqref="H271">
    <cfRule type="expression" dxfId="2" priority="1">
      <formula>H271="Оплачено"</formula>
    </cfRule>
    <cfRule type="expression" dxfId="3" priority="2">
      <formula>H271="Не оплачено"</formula>
    </cfRule>
  </conditionalFormatting>
  <conditionalFormatting sqref="I271">
    <cfRule type="expression" dxfId="4" priority="1">
      <formula>I271="Принято"</formula>
    </cfRule>
    <cfRule type="expression" dxfId="3" priority="2">
      <formula>I271="Отклонено"</formula>
    </cfRule>
    <cfRule type="expression" dxfId="5" priority="3">
      <formula>I271="Отправлено"</formula>
    </cfRule>
  </conditionalFormatting>
  <conditionalFormatting sqref="H272">
    <cfRule type="expression" dxfId="2" priority="1">
      <formula>H272="Оплачено"</formula>
    </cfRule>
    <cfRule type="expression" dxfId="3" priority="2">
      <formula>H272="Не оплачено"</formula>
    </cfRule>
  </conditionalFormatting>
  <conditionalFormatting sqref="I272">
    <cfRule type="expression" dxfId="4" priority="1">
      <formula>I272="Принято"</formula>
    </cfRule>
    <cfRule type="expression" dxfId="3" priority="2">
      <formula>I272="Отклонено"</formula>
    </cfRule>
    <cfRule type="expression" dxfId="5" priority="3">
      <formula>I272="Отправлено"</formula>
    </cfRule>
  </conditionalFormatting>
  <conditionalFormatting sqref="H273">
    <cfRule type="expression" dxfId="2" priority="1">
      <formula>H273="Оплачено"</formula>
    </cfRule>
    <cfRule type="expression" dxfId="3" priority="2">
      <formula>H273="Не оплачено"</formula>
    </cfRule>
  </conditionalFormatting>
  <conditionalFormatting sqref="I273">
    <cfRule type="expression" dxfId="4" priority="1">
      <formula>I273="Принято"</formula>
    </cfRule>
    <cfRule type="expression" dxfId="3" priority="2">
      <formula>I273="Отклонено"</formula>
    </cfRule>
    <cfRule type="expression" dxfId="5" priority="3">
      <formula>I273="Отправлено"</formula>
    </cfRule>
  </conditionalFormatting>
  <conditionalFormatting sqref="H274">
    <cfRule type="expression" dxfId="2" priority="1">
      <formula>H274="Оплачено"</formula>
    </cfRule>
    <cfRule type="expression" dxfId="3" priority="2">
      <formula>H274="Не оплачено"</formula>
    </cfRule>
  </conditionalFormatting>
  <conditionalFormatting sqref="I274">
    <cfRule type="expression" dxfId="4" priority="1">
      <formula>I274="Принято"</formula>
    </cfRule>
    <cfRule type="expression" dxfId="3" priority="2">
      <formula>I274="Отклонено"</formula>
    </cfRule>
    <cfRule type="expression" dxfId="5" priority="3">
      <formula>I274="Отправлено"</formula>
    </cfRule>
  </conditionalFormatting>
  <conditionalFormatting sqref="H275">
    <cfRule type="expression" dxfId="2" priority="1">
      <formula>H275="Оплачено"</formula>
    </cfRule>
    <cfRule type="expression" dxfId="3" priority="2">
      <formula>H275="Не оплачено"</formula>
    </cfRule>
  </conditionalFormatting>
  <conditionalFormatting sqref="I275">
    <cfRule type="expression" dxfId="4" priority="1">
      <formula>I275="Принято"</formula>
    </cfRule>
    <cfRule type="expression" dxfId="3" priority="2">
      <formula>I275="Отклонено"</formula>
    </cfRule>
    <cfRule type="expression" dxfId="5" priority="3">
      <formula>I275="Отправлено"</formula>
    </cfRule>
  </conditionalFormatting>
  <conditionalFormatting sqref="H276">
    <cfRule type="expression" dxfId="2" priority="1">
      <formula>H276="Оплачено"</formula>
    </cfRule>
    <cfRule type="expression" dxfId="3" priority="2">
      <formula>H276="Не оплачено"</formula>
    </cfRule>
  </conditionalFormatting>
  <conditionalFormatting sqref="I276">
    <cfRule type="expression" dxfId="4" priority="1">
      <formula>I276="Принято"</formula>
    </cfRule>
    <cfRule type="expression" dxfId="3" priority="2">
      <formula>I276="Отклонено"</formula>
    </cfRule>
    <cfRule type="expression" dxfId="5" priority="3">
      <formula>I276="Отправлено"</formula>
    </cfRule>
  </conditionalFormatting>
  <conditionalFormatting sqref="H277">
    <cfRule type="expression" dxfId="2" priority="1">
      <formula>H277="Оплачено"</formula>
    </cfRule>
    <cfRule type="expression" dxfId="3" priority="2">
      <formula>H277="Не оплачено"</formula>
    </cfRule>
  </conditionalFormatting>
  <conditionalFormatting sqref="I277">
    <cfRule type="expression" dxfId="4" priority="1">
      <formula>I277="Принято"</formula>
    </cfRule>
    <cfRule type="expression" dxfId="3" priority="2">
      <formula>I277="Отклонено"</formula>
    </cfRule>
    <cfRule type="expression" dxfId="5" priority="3">
      <formula>I277="Отправлено"</formula>
    </cfRule>
  </conditionalFormatting>
  <conditionalFormatting sqref="H278">
    <cfRule type="expression" dxfId="2" priority="1">
      <formula>H278="Оплачено"</formula>
    </cfRule>
    <cfRule type="expression" dxfId="3" priority="2">
      <formula>H278="Не оплачено"</formula>
    </cfRule>
  </conditionalFormatting>
  <conditionalFormatting sqref="I278">
    <cfRule type="expression" dxfId="4" priority="1">
      <formula>I278="Принято"</formula>
    </cfRule>
    <cfRule type="expression" dxfId="3" priority="2">
      <formula>I278="Отклонено"</formula>
    </cfRule>
    <cfRule type="expression" dxfId="5" priority="3">
      <formula>I278="Отправлено"</formula>
    </cfRule>
  </conditionalFormatting>
  <conditionalFormatting sqref="H279">
    <cfRule type="expression" dxfId="2" priority="1">
      <formula>H279="Оплачено"</formula>
    </cfRule>
    <cfRule type="expression" dxfId="3" priority="2">
      <formula>H279="Не оплачено"</formula>
    </cfRule>
  </conditionalFormatting>
  <conditionalFormatting sqref="I279">
    <cfRule type="expression" dxfId="4" priority="1">
      <formula>I279="Принято"</formula>
    </cfRule>
    <cfRule type="expression" dxfId="3" priority="2">
      <formula>I279="Отклонено"</formula>
    </cfRule>
    <cfRule type="expression" dxfId="5" priority="3">
      <formula>I279="Отправлено"</formula>
    </cfRule>
  </conditionalFormatting>
  <conditionalFormatting sqref="H280">
    <cfRule type="expression" dxfId="2" priority="1">
      <formula>H280="Оплачено"</formula>
    </cfRule>
    <cfRule type="expression" dxfId="3" priority="2">
      <formula>H280="Не оплачено"</formula>
    </cfRule>
  </conditionalFormatting>
  <conditionalFormatting sqref="I280">
    <cfRule type="expression" dxfId="4" priority="1">
      <formula>I280="Принято"</formula>
    </cfRule>
    <cfRule type="expression" dxfId="3" priority="2">
      <formula>I280="Отклонено"</formula>
    </cfRule>
    <cfRule type="expression" dxfId="5" priority="3">
      <formula>I280="Отправлено"</formula>
    </cfRule>
  </conditionalFormatting>
  <conditionalFormatting sqref="H281">
    <cfRule type="expression" dxfId="2" priority="1">
      <formula>H281="Оплачено"</formula>
    </cfRule>
    <cfRule type="expression" dxfId="3" priority="2">
      <formula>H281="Не оплачено"</formula>
    </cfRule>
  </conditionalFormatting>
  <conditionalFormatting sqref="I281">
    <cfRule type="expression" dxfId="4" priority="1">
      <formula>I281="Принято"</formula>
    </cfRule>
    <cfRule type="expression" dxfId="3" priority="2">
      <formula>I281="Отклонено"</formula>
    </cfRule>
    <cfRule type="expression" dxfId="5" priority="3">
      <formula>I281="Отправлено"</formula>
    </cfRule>
  </conditionalFormatting>
  <conditionalFormatting sqref="H282">
    <cfRule type="expression" dxfId="2" priority="1">
      <formula>H282="Оплачено"</formula>
    </cfRule>
    <cfRule type="expression" dxfId="3" priority="2">
      <formula>H282="Не оплачено"</formula>
    </cfRule>
  </conditionalFormatting>
  <conditionalFormatting sqref="I282">
    <cfRule type="expression" dxfId="4" priority="1">
      <formula>I282="Принято"</formula>
    </cfRule>
    <cfRule type="expression" dxfId="3" priority="2">
      <formula>I282="Отклонено"</formula>
    </cfRule>
    <cfRule type="expression" dxfId="5" priority="3">
      <formula>I282="Отправлено"</formula>
    </cfRule>
  </conditionalFormatting>
  <conditionalFormatting sqref="H283">
    <cfRule type="expression" dxfId="2" priority="1">
      <formula>H283="Оплачено"</formula>
    </cfRule>
    <cfRule type="expression" dxfId="3" priority="2">
      <formula>H283="Не оплачено"</formula>
    </cfRule>
  </conditionalFormatting>
  <conditionalFormatting sqref="I283">
    <cfRule type="expression" dxfId="4" priority="1">
      <formula>I283="Принято"</formula>
    </cfRule>
    <cfRule type="expression" dxfId="3" priority="2">
      <formula>I283="Отклонено"</formula>
    </cfRule>
    <cfRule type="expression" dxfId="5" priority="3">
      <formula>I283="Отправлено"</formula>
    </cfRule>
  </conditionalFormatting>
  <conditionalFormatting sqref="H284">
    <cfRule type="expression" dxfId="2" priority="1">
      <formula>H284="Оплачено"</formula>
    </cfRule>
    <cfRule type="expression" dxfId="3" priority="2">
      <formula>H284="Не оплачено"</formula>
    </cfRule>
  </conditionalFormatting>
  <conditionalFormatting sqref="I284">
    <cfRule type="expression" dxfId="4" priority="1">
      <formula>I284="Принято"</formula>
    </cfRule>
    <cfRule type="expression" dxfId="3" priority="2">
      <formula>I284="Отклонено"</formula>
    </cfRule>
    <cfRule type="expression" dxfId="5" priority="3">
      <formula>I284="Отправлено"</formula>
    </cfRule>
  </conditionalFormatting>
  <conditionalFormatting sqref="H285">
    <cfRule type="expression" dxfId="2" priority="1">
      <formula>H285="Оплачено"</formula>
    </cfRule>
    <cfRule type="expression" dxfId="3" priority="2">
      <formula>H285="Не оплачено"</formula>
    </cfRule>
  </conditionalFormatting>
  <conditionalFormatting sqref="I285">
    <cfRule type="expression" dxfId="4" priority="1">
      <formula>I285="Принято"</formula>
    </cfRule>
    <cfRule type="expression" dxfId="3" priority="2">
      <formula>I285="Отклонено"</formula>
    </cfRule>
    <cfRule type="expression" dxfId="5" priority="3">
      <formula>I285="Отправлено"</formula>
    </cfRule>
  </conditionalFormatting>
  <conditionalFormatting sqref="H286">
    <cfRule type="expression" dxfId="2" priority="1">
      <formula>H286="Оплачено"</formula>
    </cfRule>
    <cfRule type="expression" dxfId="3" priority="2">
      <formula>H286="Не оплачено"</formula>
    </cfRule>
  </conditionalFormatting>
  <conditionalFormatting sqref="I286">
    <cfRule type="expression" dxfId="4" priority="1">
      <formula>I286="Принято"</formula>
    </cfRule>
    <cfRule type="expression" dxfId="3" priority="2">
      <formula>I286="Отклонено"</formula>
    </cfRule>
    <cfRule type="expression" dxfId="5" priority="3">
      <formula>I286="Отправлено"</formula>
    </cfRule>
  </conditionalFormatting>
  <conditionalFormatting sqref="H287">
    <cfRule type="expression" dxfId="2" priority="1">
      <formula>H287="Оплачено"</formula>
    </cfRule>
    <cfRule type="expression" dxfId="3" priority="2">
      <formula>H287="Не оплачено"</formula>
    </cfRule>
  </conditionalFormatting>
  <conditionalFormatting sqref="I287">
    <cfRule type="expression" dxfId="4" priority="1">
      <formula>I287="Принято"</formula>
    </cfRule>
    <cfRule type="expression" dxfId="3" priority="2">
      <formula>I287="Отклонено"</formula>
    </cfRule>
    <cfRule type="expression" dxfId="5" priority="3">
      <formula>I287="Отправлено"</formula>
    </cfRule>
  </conditionalFormatting>
  <conditionalFormatting sqref="H288">
    <cfRule type="expression" dxfId="2" priority="1">
      <formula>H288="Оплачено"</formula>
    </cfRule>
    <cfRule type="expression" dxfId="3" priority="2">
      <formula>H288="Не оплачено"</formula>
    </cfRule>
  </conditionalFormatting>
  <conditionalFormatting sqref="I288">
    <cfRule type="expression" dxfId="4" priority="1">
      <formula>I288="Принято"</formula>
    </cfRule>
    <cfRule type="expression" dxfId="3" priority="2">
      <formula>I288="Отклонено"</formula>
    </cfRule>
    <cfRule type="expression" dxfId="5" priority="3">
      <formula>I288="Отправлено"</formula>
    </cfRule>
  </conditionalFormatting>
  <conditionalFormatting sqref="H289">
    <cfRule type="expression" dxfId="2" priority="1">
      <formula>H289="Оплачено"</formula>
    </cfRule>
    <cfRule type="expression" dxfId="3" priority="2">
      <formula>H289="Не оплачено"</formula>
    </cfRule>
  </conditionalFormatting>
  <conditionalFormatting sqref="I289">
    <cfRule type="expression" dxfId="4" priority="1">
      <formula>I289="Принято"</formula>
    </cfRule>
    <cfRule type="expression" dxfId="3" priority="2">
      <formula>I289="Отклонено"</formula>
    </cfRule>
    <cfRule type="expression" dxfId="5" priority="3">
      <formula>I289="Отправлено"</formula>
    </cfRule>
  </conditionalFormatting>
  <conditionalFormatting sqref="H290">
    <cfRule type="expression" dxfId="2" priority="1">
      <formula>H290="Оплачено"</formula>
    </cfRule>
    <cfRule type="expression" dxfId="3" priority="2">
      <formula>H290="Не оплачено"</formula>
    </cfRule>
  </conditionalFormatting>
  <conditionalFormatting sqref="I290">
    <cfRule type="expression" dxfId="4" priority="1">
      <formula>I290="Принято"</formula>
    </cfRule>
    <cfRule type="expression" dxfId="3" priority="2">
      <formula>I290="Отклонено"</formula>
    </cfRule>
    <cfRule type="expression" dxfId="5" priority="3">
      <formula>I290="Отправлено"</formula>
    </cfRule>
  </conditionalFormatting>
  <conditionalFormatting sqref="H291">
    <cfRule type="expression" dxfId="2" priority="1">
      <formula>H291="Оплачено"</formula>
    </cfRule>
    <cfRule type="expression" dxfId="3" priority="2">
      <formula>H291="Не оплачено"</formula>
    </cfRule>
  </conditionalFormatting>
  <conditionalFormatting sqref="I291">
    <cfRule type="expression" dxfId="4" priority="1">
      <formula>I291="Принято"</formula>
    </cfRule>
    <cfRule type="expression" dxfId="3" priority="2">
      <formula>I291="Отклонено"</formula>
    </cfRule>
    <cfRule type="expression" dxfId="5" priority="3">
      <formula>I291="Отправлено"</formula>
    </cfRule>
  </conditionalFormatting>
  <conditionalFormatting sqref="H292">
    <cfRule type="expression" dxfId="2" priority="1">
      <formula>H292="Оплачено"</formula>
    </cfRule>
    <cfRule type="expression" dxfId="3" priority="2">
      <formula>H292="Не оплачено"</formula>
    </cfRule>
  </conditionalFormatting>
  <conditionalFormatting sqref="I292">
    <cfRule type="expression" dxfId="4" priority="1">
      <formula>I292="Принято"</formula>
    </cfRule>
    <cfRule type="expression" dxfId="3" priority="2">
      <formula>I292="Отклонено"</formula>
    </cfRule>
    <cfRule type="expression" dxfId="5" priority="3">
      <formula>I292="Отправлено"</formula>
    </cfRule>
  </conditionalFormatting>
  <conditionalFormatting sqref="H293">
    <cfRule type="expression" dxfId="2" priority="1">
      <formula>H293="Оплачено"</formula>
    </cfRule>
    <cfRule type="expression" dxfId="3" priority="2">
      <formula>H293="Не оплачено"</formula>
    </cfRule>
  </conditionalFormatting>
  <conditionalFormatting sqref="I293">
    <cfRule type="expression" dxfId="4" priority="1">
      <formula>I293="Принято"</formula>
    </cfRule>
    <cfRule type="expression" dxfId="3" priority="2">
      <formula>I293="Отклонено"</formula>
    </cfRule>
    <cfRule type="expression" dxfId="5" priority="3">
      <formula>I293="Отправлено"</formula>
    </cfRule>
  </conditionalFormatting>
  <conditionalFormatting sqref="H294">
    <cfRule type="expression" dxfId="2" priority="1">
      <formula>H294="Оплачено"</formula>
    </cfRule>
    <cfRule type="expression" dxfId="3" priority="2">
      <formula>H294="Не оплачено"</formula>
    </cfRule>
  </conditionalFormatting>
  <conditionalFormatting sqref="I294">
    <cfRule type="expression" dxfId="4" priority="1">
      <formula>I294="Принято"</formula>
    </cfRule>
    <cfRule type="expression" dxfId="3" priority="2">
      <formula>I294="Отклонено"</formula>
    </cfRule>
    <cfRule type="expression" dxfId="5" priority="3">
      <formula>I294="Отправлено"</formula>
    </cfRule>
  </conditionalFormatting>
  <conditionalFormatting sqref="H295">
    <cfRule type="expression" dxfId="2" priority="1">
      <formula>H295="Оплачено"</formula>
    </cfRule>
    <cfRule type="expression" dxfId="3" priority="2">
      <formula>H295="Не оплачено"</formula>
    </cfRule>
  </conditionalFormatting>
  <conditionalFormatting sqref="I295">
    <cfRule type="expression" dxfId="4" priority="1">
      <formula>I295="Принято"</formula>
    </cfRule>
    <cfRule type="expression" dxfId="3" priority="2">
      <formula>I295="Отклонено"</formula>
    </cfRule>
    <cfRule type="expression" dxfId="5" priority="3">
      <formula>I295="Отправлено"</formula>
    </cfRule>
  </conditionalFormatting>
  <conditionalFormatting sqref="H296">
    <cfRule type="expression" dxfId="2" priority="1">
      <formula>H296="Оплачено"</formula>
    </cfRule>
    <cfRule type="expression" dxfId="3" priority="2">
      <formula>H296="Не оплачено"</formula>
    </cfRule>
  </conditionalFormatting>
  <conditionalFormatting sqref="I296">
    <cfRule type="expression" dxfId="4" priority="1">
      <formula>I296="Принято"</formula>
    </cfRule>
    <cfRule type="expression" dxfId="3" priority="2">
      <formula>I296="Отклонено"</formula>
    </cfRule>
    <cfRule type="expression" dxfId="5" priority="3">
      <formula>I296="Отправлено"</formula>
    </cfRule>
  </conditionalFormatting>
  <conditionalFormatting sqref="H297">
    <cfRule type="expression" dxfId="2" priority="1">
      <formula>H297="Оплачено"</formula>
    </cfRule>
    <cfRule type="expression" dxfId="3" priority="2">
      <formula>H297="Не оплачено"</formula>
    </cfRule>
  </conditionalFormatting>
  <conditionalFormatting sqref="I297">
    <cfRule type="expression" dxfId="4" priority="1">
      <formula>I297="Принято"</formula>
    </cfRule>
    <cfRule type="expression" dxfId="3" priority="2">
      <formula>I297="Отклонено"</formula>
    </cfRule>
    <cfRule type="expression" dxfId="5" priority="3">
      <formula>I297="Отправлено"</formula>
    </cfRule>
  </conditionalFormatting>
  <conditionalFormatting sqref="H298">
    <cfRule type="expression" dxfId="2" priority="1">
      <formula>H298="Оплачено"</formula>
    </cfRule>
    <cfRule type="expression" dxfId="3" priority="2">
      <formula>H298="Не оплачено"</formula>
    </cfRule>
  </conditionalFormatting>
  <conditionalFormatting sqref="I298">
    <cfRule type="expression" dxfId="4" priority="1">
      <formula>I298="Принято"</formula>
    </cfRule>
    <cfRule type="expression" dxfId="3" priority="2">
      <formula>I298="Отклонено"</formula>
    </cfRule>
    <cfRule type="expression" dxfId="5" priority="3">
      <formula>I298="Отправлено"</formula>
    </cfRule>
  </conditionalFormatting>
  <conditionalFormatting sqref="H299">
    <cfRule type="expression" dxfId="2" priority="1">
      <formula>H299="Оплачено"</formula>
    </cfRule>
    <cfRule type="expression" dxfId="3" priority="2">
      <formula>H299="Не оплачено"</formula>
    </cfRule>
  </conditionalFormatting>
  <conditionalFormatting sqref="I299">
    <cfRule type="expression" dxfId="4" priority="1">
      <formula>I299="Принято"</formula>
    </cfRule>
    <cfRule type="expression" dxfId="3" priority="2">
      <formula>I299="Отклонено"</formula>
    </cfRule>
    <cfRule type="expression" dxfId="5" priority="3">
      <formula>I299="Отправлено"</formula>
    </cfRule>
  </conditionalFormatting>
  <conditionalFormatting sqref="H300">
    <cfRule type="expression" dxfId="2" priority="1">
      <formula>H300="Оплачено"</formula>
    </cfRule>
    <cfRule type="expression" dxfId="3" priority="2">
      <formula>H300="Не оплачено"</formula>
    </cfRule>
  </conditionalFormatting>
  <conditionalFormatting sqref="I300">
    <cfRule type="expression" dxfId="4" priority="1">
      <formula>I300="Принято"</formula>
    </cfRule>
    <cfRule type="expression" dxfId="3" priority="2">
      <formula>I300="Отклонено"</formula>
    </cfRule>
    <cfRule type="expression" dxfId="5" priority="3">
      <formula>I300="Отправлено"</formula>
    </cfRule>
  </conditionalFormatting>
  <conditionalFormatting sqref="H301">
    <cfRule type="expression" dxfId="2" priority="1">
      <formula>H301="Оплачено"</formula>
    </cfRule>
    <cfRule type="expression" dxfId="3" priority="2">
      <formula>H301="Не оплачено"</formula>
    </cfRule>
  </conditionalFormatting>
  <conditionalFormatting sqref="I301">
    <cfRule type="expression" dxfId="4" priority="1">
      <formula>I301="Принято"</formula>
    </cfRule>
    <cfRule type="expression" dxfId="3" priority="2">
      <formula>I301="Отклонено"</formula>
    </cfRule>
    <cfRule type="expression" dxfId="5" priority="3">
      <formula>I301="Отправлено"</formula>
    </cfRule>
  </conditionalFormatting>
  <conditionalFormatting sqref="H302">
    <cfRule type="expression" dxfId="2" priority="1">
      <formula>H302="Оплачено"</formula>
    </cfRule>
    <cfRule type="expression" dxfId="3" priority="2">
      <formula>H302="Не оплачено"</formula>
    </cfRule>
  </conditionalFormatting>
  <conditionalFormatting sqref="I302">
    <cfRule type="expression" dxfId="4" priority="1">
      <formula>I302="Принято"</formula>
    </cfRule>
    <cfRule type="expression" dxfId="3" priority="2">
      <formula>I302="Отклонено"</formula>
    </cfRule>
    <cfRule type="expression" dxfId="5" priority="3">
      <formula>I302="Отправлено"</formula>
    </cfRule>
  </conditionalFormatting>
  <conditionalFormatting sqref="H303">
    <cfRule type="expression" dxfId="2" priority="1">
      <formula>H303="Оплачено"</formula>
    </cfRule>
    <cfRule type="expression" dxfId="3" priority="2">
      <formula>H303="Не оплачено"</formula>
    </cfRule>
  </conditionalFormatting>
  <conditionalFormatting sqref="I303">
    <cfRule type="expression" dxfId="4" priority="1">
      <formula>I303="Принято"</formula>
    </cfRule>
    <cfRule type="expression" dxfId="3" priority="2">
      <formula>I303="Отклонено"</formula>
    </cfRule>
    <cfRule type="expression" dxfId="5" priority="3">
      <formula>I303="Отправлено"</formula>
    </cfRule>
  </conditionalFormatting>
  <conditionalFormatting sqref="H304">
    <cfRule type="expression" dxfId="2" priority="1">
      <formula>H304="Оплачено"</formula>
    </cfRule>
    <cfRule type="expression" dxfId="3" priority="2">
      <formula>H304="Не оплачено"</formula>
    </cfRule>
  </conditionalFormatting>
  <conditionalFormatting sqref="I304">
    <cfRule type="expression" dxfId="4" priority="1">
      <formula>I304="Принято"</formula>
    </cfRule>
    <cfRule type="expression" dxfId="3" priority="2">
      <formula>I304="Отклонено"</formula>
    </cfRule>
    <cfRule type="expression" dxfId="5" priority="3">
      <formula>I304="Отправлено"</formula>
    </cfRule>
  </conditionalFormatting>
  <conditionalFormatting sqref="H305">
    <cfRule type="expression" dxfId="2" priority="1">
      <formula>H305="Оплачено"</formula>
    </cfRule>
    <cfRule type="expression" dxfId="3" priority="2">
      <formula>H305="Не оплачено"</formula>
    </cfRule>
  </conditionalFormatting>
  <conditionalFormatting sqref="I305">
    <cfRule type="expression" dxfId="4" priority="1">
      <formula>I305="Принято"</formula>
    </cfRule>
    <cfRule type="expression" dxfId="3" priority="2">
      <formula>I305="Отклонено"</formula>
    </cfRule>
    <cfRule type="expression" dxfId="5" priority="3">
      <formula>I305="Отправлено"</formula>
    </cfRule>
  </conditionalFormatting>
  <conditionalFormatting sqref="H306">
    <cfRule type="expression" dxfId="2" priority="1">
      <formula>H306="Оплачено"</formula>
    </cfRule>
    <cfRule type="expression" dxfId="3" priority="2">
      <formula>H306="Не оплачено"</formula>
    </cfRule>
  </conditionalFormatting>
  <conditionalFormatting sqref="I306">
    <cfRule type="expression" dxfId="4" priority="1">
      <formula>I306="Принято"</formula>
    </cfRule>
    <cfRule type="expression" dxfId="3" priority="2">
      <formula>I306="Отклонено"</formula>
    </cfRule>
    <cfRule type="expression" dxfId="5" priority="3">
      <formula>I306="Отправлено"</formula>
    </cfRule>
  </conditionalFormatting>
  <conditionalFormatting sqref="H307">
    <cfRule type="expression" dxfId="2" priority="1">
      <formula>H307="Оплачено"</formula>
    </cfRule>
    <cfRule type="expression" dxfId="3" priority="2">
      <formula>H307="Не оплачено"</formula>
    </cfRule>
  </conditionalFormatting>
  <conditionalFormatting sqref="I307">
    <cfRule type="expression" dxfId="4" priority="1">
      <formula>I307="Принято"</formula>
    </cfRule>
    <cfRule type="expression" dxfId="3" priority="2">
      <formula>I307="Отклонено"</formula>
    </cfRule>
    <cfRule type="expression" dxfId="5" priority="3">
      <formula>I307="Отправлено"</formula>
    </cfRule>
  </conditionalFormatting>
  <conditionalFormatting sqref="H308">
    <cfRule type="expression" dxfId="2" priority="1">
      <formula>H308="Оплачено"</formula>
    </cfRule>
    <cfRule type="expression" dxfId="3" priority="2">
      <formula>H308="Не оплачено"</formula>
    </cfRule>
  </conditionalFormatting>
  <conditionalFormatting sqref="I308">
    <cfRule type="expression" dxfId="4" priority="1">
      <formula>I308="Принято"</formula>
    </cfRule>
    <cfRule type="expression" dxfId="3" priority="2">
      <formula>I308="Отклонено"</formula>
    </cfRule>
    <cfRule type="expression" dxfId="5" priority="3">
      <formula>I308="Отправлено"</formula>
    </cfRule>
  </conditionalFormatting>
  <conditionalFormatting sqref="H309">
    <cfRule type="expression" dxfId="2" priority="1">
      <formula>H309="Оплачено"</formula>
    </cfRule>
    <cfRule type="expression" dxfId="3" priority="2">
      <formula>H309="Не оплачено"</formula>
    </cfRule>
  </conditionalFormatting>
  <conditionalFormatting sqref="I309">
    <cfRule type="expression" dxfId="4" priority="1">
      <formula>I309="Принято"</formula>
    </cfRule>
    <cfRule type="expression" dxfId="3" priority="2">
      <formula>I309="Отклонено"</formula>
    </cfRule>
    <cfRule type="expression" dxfId="5" priority="3">
      <formula>I309="Отправлено"</formula>
    </cfRule>
  </conditionalFormatting>
  <conditionalFormatting sqref="H310">
    <cfRule type="expression" dxfId="2" priority="1">
      <formula>H310="Оплачено"</formula>
    </cfRule>
    <cfRule type="expression" dxfId="3" priority="2">
      <formula>H310="Не оплачено"</formula>
    </cfRule>
  </conditionalFormatting>
  <conditionalFormatting sqref="I310">
    <cfRule type="expression" dxfId="4" priority="1">
      <formula>I310="Принято"</formula>
    </cfRule>
    <cfRule type="expression" dxfId="3" priority="2">
      <formula>I310="Отклонено"</formula>
    </cfRule>
    <cfRule type="expression" dxfId="5" priority="3">
      <formula>I310="Отправлено"</formula>
    </cfRule>
  </conditionalFormatting>
  <conditionalFormatting sqref="H311">
    <cfRule type="expression" dxfId="2" priority="1">
      <formula>H311="Оплачено"</formula>
    </cfRule>
    <cfRule type="expression" dxfId="3" priority="2">
      <formula>H311="Не оплачено"</formula>
    </cfRule>
  </conditionalFormatting>
  <conditionalFormatting sqref="I311">
    <cfRule type="expression" dxfId="4" priority="1">
      <formula>I311="Принято"</formula>
    </cfRule>
    <cfRule type="expression" dxfId="3" priority="2">
      <formula>I311="Отклонено"</formula>
    </cfRule>
    <cfRule type="expression" dxfId="5" priority="3">
      <formula>I311="Отправлено"</formula>
    </cfRule>
  </conditionalFormatting>
  <conditionalFormatting sqref="H312">
    <cfRule type="expression" dxfId="2" priority="1">
      <formula>H312="Оплачено"</formula>
    </cfRule>
    <cfRule type="expression" dxfId="3" priority="2">
      <formula>H312="Не оплачено"</formula>
    </cfRule>
  </conditionalFormatting>
  <conditionalFormatting sqref="I312">
    <cfRule type="expression" dxfId="4" priority="1">
      <formula>I312="Принято"</formula>
    </cfRule>
    <cfRule type="expression" dxfId="3" priority="2">
      <formula>I312="Отклонено"</formula>
    </cfRule>
    <cfRule type="expression" dxfId="5" priority="3">
      <formula>I312="Отправлено"</formula>
    </cfRule>
  </conditionalFormatting>
  <conditionalFormatting sqref="H313">
    <cfRule type="expression" dxfId="2" priority="1">
      <formula>H313="Оплачено"</formula>
    </cfRule>
    <cfRule type="expression" dxfId="3" priority="2">
      <formula>H313="Не оплачено"</formula>
    </cfRule>
  </conditionalFormatting>
  <conditionalFormatting sqref="I313">
    <cfRule type="expression" dxfId="4" priority="1">
      <formula>I313="Принято"</formula>
    </cfRule>
    <cfRule type="expression" dxfId="3" priority="2">
      <formula>I313="Отклонено"</formula>
    </cfRule>
    <cfRule type="expression" dxfId="5" priority="3">
      <formula>I313="Отправлено"</formula>
    </cfRule>
  </conditionalFormatting>
  <conditionalFormatting sqref="H314">
    <cfRule type="expression" dxfId="2" priority="1">
      <formula>H314="Оплачено"</formula>
    </cfRule>
    <cfRule type="expression" dxfId="3" priority="2">
      <formula>H314="Не оплачено"</formula>
    </cfRule>
  </conditionalFormatting>
  <conditionalFormatting sqref="I314">
    <cfRule type="expression" dxfId="4" priority="1">
      <formula>I314="Принято"</formula>
    </cfRule>
    <cfRule type="expression" dxfId="3" priority="2">
      <formula>I314="Отклонено"</formula>
    </cfRule>
    <cfRule type="expression" dxfId="5" priority="3">
      <formula>I314="Отправлено"</formula>
    </cfRule>
  </conditionalFormatting>
  <conditionalFormatting sqref="H315">
    <cfRule type="expression" dxfId="2" priority="1">
      <formula>H315="Оплачено"</formula>
    </cfRule>
    <cfRule type="expression" dxfId="3" priority="2">
      <formula>H315="Не оплачено"</formula>
    </cfRule>
  </conditionalFormatting>
  <conditionalFormatting sqref="I315">
    <cfRule type="expression" dxfId="4" priority="1">
      <formula>I315="Принято"</formula>
    </cfRule>
    <cfRule type="expression" dxfId="3" priority="2">
      <formula>I315="Отклонено"</formula>
    </cfRule>
    <cfRule type="expression" dxfId="5" priority="3">
      <formula>I315="Отправлено"</formula>
    </cfRule>
  </conditionalFormatting>
  <conditionalFormatting sqref="H316">
    <cfRule type="expression" dxfId="2" priority="1">
      <formula>H316="Оплачено"</formula>
    </cfRule>
    <cfRule type="expression" dxfId="3" priority="2">
      <formula>H316="Не оплачено"</formula>
    </cfRule>
  </conditionalFormatting>
  <conditionalFormatting sqref="I316">
    <cfRule type="expression" dxfId="4" priority="1">
      <formula>I316="Принято"</formula>
    </cfRule>
    <cfRule type="expression" dxfId="3" priority="2">
      <formula>I316="Отклонено"</formula>
    </cfRule>
    <cfRule type="expression" dxfId="5" priority="3">
      <formula>I316="Отправлено"</formula>
    </cfRule>
  </conditionalFormatting>
  <conditionalFormatting sqref="H317">
    <cfRule type="expression" dxfId="2" priority="1">
      <formula>H317="Оплачено"</formula>
    </cfRule>
    <cfRule type="expression" dxfId="3" priority="2">
      <formula>H317="Не оплачено"</formula>
    </cfRule>
  </conditionalFormatting>
  <conditionalFormatting sqref="I317">
    <cfRule type="expression" dxfId="4" priority="1">
      <formula>I317="Принято"</formula>
    </cfRule>
    <cfRule type="expression" dxfId="3" priority="2">
      <formula>I317="Отклонено"</formula>
    </cfRule>
    <cfRule type="expression" dxfId="5" priority="3">
      <formula>I317="Отправлено"</formula>
    </cfRule>
  </conditionalFormatting>
  <conditionalFormatting sqref="H318">
    <cfRule type="expression" dxfId="2" priority="1">
      <formula>H318="Оплачено"</formula>
    </cfRule>
    <cfRule type="expression" dxfId="3" priority="2">
      <formula>H318="Не оплачено"</formula>
    </cfRule>
  </conditionalFormatting>
  <conditionalFormatting sqref="I318">
    <cfRule type="expression" dxfId="4" priority="1">
      <formula>I318="Принято"</formula>
    </cfRule>
    <cfRule type="expression" dxfId="3" priority="2">
      <formula>I318="Отклонено"</formula>
    </cfRule>
    <cfRule type="expression" dxfId="5" priority="3">
      <formula>I318="Отправлено"</formula>
    </cfRule>
  </conditionalFormatting>
  <conditionalFormatting sqref="H319">
    <cfRule type="expression" dxfId="2" priority="1">
      <formula>H319="Оплачено"</formula>
    </cfRule>
    <cfRule type="expression" dxfId="3" priority="2">
      <formula>H319="Не оплачено"</formula>
    </cfRule>
  </conditionalFormatting>
  <conditionalFormatting sqref="I319">
    <cfRule type="expression" dxfId="4" priority="1">
      <formula>I319="Принято"</formula>
    </cfRule>
    <cfRule type="expression" dxfId="3" priority="2">
      <formula>I319="Отклонено"</formula>
    </cfRule>
    <cfRule type="expression" dxfId="5" priority="3">
      <formula>I319="Отправлено"</formula>
    </cfRule>
  </conditionalFormatting>
  <conditionalFormatting sqref="H320">
    <cfRule type="expression" dxfId="2" priority="1">
      <formula>H320="Оплачено"</formula>
    </cfRule>
    <cfRule type="expression" dxfId="3" priority="2">
      <formula>H320="Не оплачено"</formula>
    </cfRule>
  </conditionalFormatting>
  <conditionalFormatting sqref="I320">
    <cfRule type="expression" dxfId="4" priority="1">
      <formula>I320="Принято"</formula>
    </cfRule>
    <cfRule type="expression" dxfId="3" priority="2">
      <formula>I320="Отклонено"</formula>
    </cfRule>
    <cfRule type="expression" dxfId="5" priority="3">
      <formula>I320="Отправлено"</formula>
    </cfRule>
  </conditionalFormatting>
  <conditionalFormatting sqref="H321">
    <cfRule type="expression" dxfId="2" priority="1">
      <formula>H321="Оплачено"</formula>
    </cfRule>
    <cfRule type="expression" dxfId="3" priority="2">
      <formula>H321="Не оплачено"</formula>
    </cfRule>
  </conditionalFormatting>
  <conditionalFormatting sqref="I321">
    <cfRule type="expression" dxfId="4" priority="1">
      <formula>I321="Принято"</formula>
    </cfRule>
    <cfRule type="expression" dxfId="3" priority="2">
      <formula>I321="Отклонено"</formula>
    </cfRule>
    <cfRule type="expression" dxfId="5" priority="3">
      <formula>I321="Отправлено"</formula>
    </cfRule>
  </conditionalFormatting>
  <conditionalFormatting sqref="H322">
    <cfRule type="expression" dxfId="2" priority="1">
      <formula>H322="Оплачено"</formula>
    </cfRule>
    <cfRule type="expression" dxfId="3" priority="2">
      <formula>H322="Не оплачено"</formula>
    </cfRule>
  </conditionalFormatting>
  <conditionalFormatting sqref="I322">
    <cfRule type="expression" dxfId="4" priority="1">
      <formula>I322="Принято"</formula>
    </cfRule>
    <cfRule type="expression" dxfId="3" priority="2">
      <formula>I322="Отклонено"</formula>
    </cfRule>
    <cfRule type="expression" dxfId="5" priority="3">
      <formula>I322="Отправлено"</formula>
    </cfRule>
  </conditionalFormatting>
  <conditionalFormatting sqref="H323">
    <cfRule type="expression" dxfId="2" priority="1">
      <formula>H323="Оплачено"</formula>
    </cfRule>
    <cfRule type="expression" dxfId="3" priority="2">
      <formula>H323="Не оплачено"</formula>
    </cfRule>
  </conditionalFormatting>
  <conditionalFormatting sqref="I323">
    <cfRule type="expression" dxfId="4" priority="1">
      <formula>I323="Принято"</formula>
    </cfRule>
    <cfRule type="expression" dxfId="3" priority="2">
      <formula>I323="Отклонено"</formula>
    </cfRule>
    <cfRule type="expression" dxfId="5" priority="3">
      <formula>I323="Отправлено"</formula>
    </cfRule>
  </conditionalFormatting>
  <conditionalFormatting sqref="H324">
    <cfRule type="expression" dxfId="2" priority="1">
      <formula>H324="Оплачено"</formula>
    </cfRule>
    <cfRule type="expression" dxfId="3" priority="2">
      <formula>H324="Не оплачено"</formula>
    </cfRule>
  </conditionalFormatting>
  <conditionalFormatting sqref="I324">
    <cfRule type="expression" dxfId="4" priority="1">
      <formula>I324="Принято"</formula>
    </cfRule>
    <cfRule type="expression" dxfId="3" priority="2">
      <formula>I324="Отклонено"</formula>
    </cfRule>
    <cfRule type="expression" dxfId="5" priority="3">
      <formula>I324="Отправлено"</formula>
    </cfRule>
  </conditionalFormatting>
  <conditionalFormatting sqref="H325">
    <cfRule type="expression" dxfId="2" priority="1">
      <formula>H325="Оплачено"</formula>
    </cfRule>
    <cfRule type="expression" dxfId="3" priority="2">
      <formula>H325="Не оплачено"</formula>
    </cfRule>
  </conditionalFormatting>
  <conditionalFormatting sqref="I325">
    <cfRule type="expression" dxfId="4" priority="1">
      <formula>I325="Принято"</formula>
    </cfRule>
    <cfRule type="expression" dxfId="3" priority="2">
      <formula>I325="Отклонено"</formula>
    </cfRule>
    <cfRule type="expression" dxfId="5" priority="3">
      <formula>I325="Отправлено"</formula>
    </cfRule>
  </conditionalFormatting>
  <conditionalFormatting sqref="H326">
    <cfRule type="expression" dxfId="2" priority="1">
      <formula>H326="Оплачено"</formula>
    </cfRule>
    <cfRule type="expression" dxfId="3" priority="2">
      <formula>H326="Не оплачено"</formula>
    </cfRule>
  </conditionalFormatting>
  <conditionalFormatting sqref="I326">
    <cfRule type="expression" dxfId="4" priority="1">
      <formula>I326="Принято"</formula>
    </cfRule>
    <cfRule type="expression" dxfId="3" priority="2">
      <formula>I326="Отклонено"</formula>
    </cfRule>
    <cfRule type="expression" dxfId="5" priority="3">
      <formula>I326="Отправлено"</formula>
    </cfRule>
  </conditionalFormatting>
  <conditionalFormatting sqref="H327">
    <cfRule type="expression" dxfId="2" priority="1">
      <formula>H327="Оплачено"</formula>
    </cfRule>
    <cfRule type="expression" dxfId="3" priority="2">
      <formula>H327="Не оплачено"</formula>
    </cfRule>
  </conditionalFormatting>
  <conditionalFormatting sqref="I327">
    <cfRule type="expression" dxfId="4" priority="1">
      <formula>I327="Принято"</formula>
    </cfRule>
    <cfRule type="expression" dxfId="3" priority="2">
      <formula>I327="Отклонено"</formula>
    </cfRule>
    <cfRule type="expression" dxfId="5" priority="3">
      <formula>I327="Отправлено"</formula>
    </cfRule>
  </conditionalFormatting>
  <conditionalFormatting sqref="H328">
    <cfRule type="expression" dxfId="2" priority="1">
      <formula>H328="Оплачено"</formula>
    </cfRule>
    <cfRule type="expression" dxfId="3" priority="2">
      <formula>H328="Не оплачено"</formula>
    </cfRule>
  </conditionalFormatting>
  <conditionalFormatting sqref="I328">
    <cfRule type="expression" dxfId="4" priority="1">
      <formula>I328="Принято"</formula>
    </cfRule>
    <cfRule type="expression" dxfId="3" priority="2">
      <formula>I328="Отклонено"</formula>
    </cfRule>
    <cfRule type="expression" dxfId="5" priority="3">
      <formula>I328="Отправлено"</formula>
    </cfRule>
  </conditionalFormatting>
  <conditionalFormatting sqref="H329">
    <cfRule type="expression" dxfId="2" priority="1">
      <formula>H329="Оплачено"</formula>
    </cfRule>
    <cfRule type="expression" dxfId="3" priority="2">
      <formula>H329="Не оплачено"</formula>
    </cfRule>
  </conditionalFormatting>
  <conditionalFormatting sqref="I329">
    <cfRule type="expression" dxfId="4" priority="1">
      <formula>I329="Принято"</formula>
    </cfRule>
    <cfRule type="expression" dxfId="3" priority="2">
      <formula>I329="Отклонено"</formula>
    </cfRule>
    <cfRule type="expression" dxfId="5" priority="3">
      <formula>I329="Отправлено"</formula>
    </cfRule>
  </conditionalFormatting>
  <conditionalFormatting sqref="H330">
    <cfRule type="expression" dxfId="2" priority="1">
      <formula>H330="Оплачено"</formula>
    </cfRule>
    <cfRule type="expression" dxfId="3" priority="2">
      <formula>H330="Не оплачено"</formula>
    </cfRule>
  </conditionalFormatting>
  <conditionalFormatting sqref="I330">
    <cfRule type="expression" dxfId="4" priority="1">
      <formula>I330="Принято"</formula>
    </cfRule>
    <cfRule type="expression" dxfId="3" priority="2">
      <formula>I330="Отклонено"</formula>
    </cfRule>
    <cfRule type="expression" dxfId="5" priority="3">
      <formula>I330="Отправлено"</formula>
    </cfRule>
  </conditionalFormatting>
  <conditionalFormatting sqref="H331">
    <cfRule type="expression" dxfId="2" priority="1">
      <formula>H331="Оплачено"</formula>
    </cfRule>
    <cfRule type="expression" dxfId="3" priority="2">
      <formula>H331="Не оплачено"</formula>
    </cfRule>
  </conditionalFormatting>
  <conditionalFormatting sqref="I331">
    <cfRule type="expression" dxfId="4" priority="1">
      <formula>I331="Принято"</formula>
    </cfRule>
    <cfRule type="expression" dxfId="3" priority="2">
      <formula>I331="Отклонено"</formula>
    </cfRule>
    <cfRule type="expression" dxfId="5" priority="3">
      <formula>I331="Отправлено"</formula>
    </cfRule>
  </conditionalFormatting>
  <conditionalFormatting sqref="H332">
    <cfRule type="expression" dxfId="2" priority="1">
      <formula>H332="Оплачено"</formula>
    </cfRule>
    <cfRule type="expression" dxfId="3" priority="2">
      <formula>H332="Не оплачено"</formula>
    </cfRule>
  </conditionalFormatting>
  <conditionalFormatting sqref="I332">
    <cfRule type="expression" dxfId="4" priority="1">
      <formula>I332="Принято"</formula>
    </cfRule>
    <cfRule type="expression" dxfId="3" priority="2">
      <formula>I332="Отклонено"</formula>
    </cfRule>
    <cfRule type="expression" dxfId="5" priority="3">
      <formula>I332="Отправлено"</formula>
    </cfRule>
  </conditionalFormatting>
  <conditionalFormatting sqref="H333">
    <cfRule type="expression" dxfId="2" priority="1">
      <formula>H333="Оплачено"</formula>
    </cfRule>
    <cfRule type="expression" dxfId="3" priority="2">
      <formula>H333="Не оплачено"</formula>
    </cfRule>
  </conditionalFormatting>
  <conditionalFormatting sqref="I333">
    <cfRule type="expression" dxfId="4" priority="1">
      <formula>I333="Принято"</formula>
    </cfRule>
    <cfRule type="expression" dxfId="3" priority="2">
      <formula>I333="Отклонено"</formula>
    </cfRule>
    <cfRule type="expression" dxfId="5" priority="3">
      <formula>I333="Отправлено"</formula>
    </cfRule>
  </conditionalFormatting>
  <conditionalFormatting sqref="H334">
    <cfRule type="expression" dxfId="2" priority="1">
      <formula>H334="Оплачено"</formula>
    </cfRule>
    <cfRule type="expression" dxfId="3" priority="2">
      <formula>H334="Не оплачено"</formula>
    </cfRule>
  </conditionalFormatting>
  <conditionalFormatting sqref="I334">
    <cfRule type="expression" dxfId="4" priority="1">
      <formula>I334="Принято"</formula>
    </cfRule>
    <cfRule type="expression" dxfId="3" priority="2">
      <formula>I334="Отклонено"</formula>
    </cfRule>
    <cfRule type="expression" dxfId="5" priority="3">
      <formula>I334="Отправлено"</formula>
    </cfRule>
  </conditionalFormatting>
  <conditionalFormatting sqref="H335">
    <cfRule type="expression" dxfId="2" priority="1">
      <formula>H335="Оплачено"</formula>
    </cfRule>
    <cfRule type="expression" dxfId="3" priority="2">
      <formula>H335="Не оплачено"</formula>
    </cfRule>
  </conditionalFormatting>
  <conditionalFormatting sqref="I335">
    <cfRule type="expression" dxfId="4" priority="1">
      <formula>I335="Принято"</formula>
    </cfRule>
    <cfRule type="expression" dxfId="3" priority="2">
      <formula>I335="Отклонено"</formula>
    </cfRule>
    <cfRule type="expression" dxfId="5" priority="3">
      <formula>I335="Отправлено"</formula>
    </cfRule>
  </conditionalFormatting>
  <conditionalFormatting sqref="H336">
    <cfRule type="expression" dxfId="2" priority="1">
      <formula>H336="Оплачено"</formula>
    </cfRule>
    <cfRule type="expression" dxfId="3" priority="2">
      <formula>H336="Не оплачено"</formula>
    </cfRule>
  </conditionalFormatting>
  <conditionalFormatting sqref="I336">
    <cfRule type="expression" dxfId="4" priority="1">
      <formula>I336="Принято"</formula>
    </cfRule>
    <cfRule type="expression" dxfId="3" priority="2">
      <formula>I336="Отклонено"</formula>
    </cfRule>
    <cfRule type="expression" dxfId="5" priority="3">
      <formula>I336="Отправлено"</formula>
    </cfRule>
  </conditionalFormatting>
  <conditionalFormatting sqref="H337">
    <cfRule type="expression" dxfId="2" priority="1">
      <formula>H337="Оплачено"</formula>
    </cfRule>
    <cfRule type="expression" dxfId="3" priority="2">
      <formula>H337="Не оплачено"</formula>
    </cfRule>
  </conditionalFormatting>
  <conditionalFormatting sqref="I337">
    <cfRule type="expression" dxfId="4" priority="1">
      <formula>I337="Принято"</formula>
    </cfRule>
    <cfRule type="expression" dxfId="3" priority="2">
      <formula>I337="Отклонено"</formula>
    </cfRule>
    <cfRule type="expression" dxfId="5" priority="3">
      <formula>I337="Отправлено"</formula>
    </cfRule>
  </conditionalFormatting>
  <conditionalFormatting sqref="H338">
    <cfRule type="expression" dxfId="2" priority="1">
      <formula>H338="Оплачено"</formula>
    </cfRule>
    <cfRule type="expression" dxfId="3" priority="2">
      <formula>H338="Не оплачено"</formula>
    </cfRule>
  </conditionalFormatting>
  <conditionalFormatting sqref="I338">
    <cfRule type="expression" dxfId="4" priority="1">
      <formula>I338="Принято"</formula>
    </cfRule>
    <cfRule type="expression" dxfId="3" priority="2">
      <formula>I338="Отклонено"</formula>
    </cfRule>
    <cfRule type="expression" dxfId="5" priority="3">
      <formula>I338="Отправлено"</formula>
    </cfRule>
  </conditionalFormatting>
  <conditionalFormatting sqref="H339">
    <cfRule type="expression" dxfId="2" priority="1">
      <formula>H339="Оплачено"</formula>
    </cfRule>
    <cfRule type="expression" dxfId="3" priority="2">
      <formula>H339="Не оплачено"</formula>
    </cfRule>
  </conditionalFormatting>
  <conditionalFormatting sqref="I339">
    <cfRule type="expression" dxfId="4" priority="1">
      <formula>I339="Принято"</formula>
    </cfRule>
    <cfRule type="expression" dxfId="3" priority="2">
      <formula>I339="Отклонено"</formula>
    </cfRule>
    <cfRule type="expression" dxfId="5" priority="3">
      <formula>I339="Отправлено"</formula>
    </cfRule>
  </conditionalFormatting>
  <conditionalFormatting sqref="H340">
    <cfRule type="expression" dxfId="2" priority="1">
      <formula>H340="Оплачено"</formula>
    </cfRule>
    <cfRule type="expression" dxfId="3" priority="2">
      <formula>H340="Не оплачено"</formula>
    </cfRule>
  </conditionalFormatting>
  <conditionalFormatting sqref="I340">
    <cfRule type="expression" dxfId="4" priority="1">
      <formula>I340="Принято"</formula>
    </cfRule>
    <cfRule type="expression" dxfId="3" priority="2">
      <formula>I340="Отклонено"</formula>
    </cfRule>
    <cfRule type="expression" dxfId="5" priority="3">
      <formula>I340="Отправлено"</formula>
    </cfRule>
  </conditionalFormatting>
  <conditionalFormatting sqref="H341">
    <cfRule type="expression" dxfId="2" priority="1">
      <formula>H341="Оплачено"</formula>
    </cfRule>
    <cfRule type="expression" dxfId="3" priority="2">
      <formula>H341="Не оплачено"</formula>
    </cfRule>
  </conditionalFormatting>
  <conditionalFormatting sqref="I341">
    <cfRule type="expression" dxfId="4" priority="1">
      <formula>I341="Принято"</formula>
    </cfRule>
    <cfRule type="expression" dxfId="3" priority="2">
      <formula>I341="Отклонено"</formula>
    </cfRule>
    <cfRule type="expression" dxfId="5" priority="3">
      <formula>I341="Отправлено"</formula>
    </cfRule>
  </conditionalFormatting>
  <conditionalFormatting sqref="H342">
    <cfRule type="expression" dxfId="2" priority="1">
      <formula>H342="Оплачено"</formula>
    </cfRule>
    <cfRule type="expression" dxfId="3" priority="2">
      <formula>H342="Не оплачено"</formula>
    </cfRule>
  </conditionalFormatting>
  <conditionalFormatting sqref="I342">
    <cfRule type="expression" dxfId="4" priority="1">
      <formula>I342="Принято"</formula>
    </cfRule>
    <cfRule type="expression" dxfId="3" priority="2">
      <formula>I342="Отклонено"</formula>
    </cfRule>
    <cfRule type="expression" dxfId="5" priority="3">
      <formula>I342="Отправлено"</formula>
    </cfRule>
  </conditionalFormatting>
  <conditionalFormatting sqref="H343">
    <cfRule type="expression" dxfId="2" priority="1">
      <formula>H343="Оплачено"</formula>
    </cfRule>
    <cfRule type="expression" dxfId="3" priority="2">
      <formula>H343="Не оплачено"</formula>
    </cfRule>
  </conditionalFormatting>
  <conditionalFormatting sqref="I343">
    <cfRule type="expression" dxfId="4" priority="1">
      <formula>I343="Принято"</formula>
    </cfRule>
    <cfRule type="expression" dxfId="3" priority="2">
      <formula>I343="Отклонено"</formula>
    </cfRule>
    <cfRule type="expression" dxfId="5" priority="3">
      <formula>I343="Отправлено"</formula>
    </cfRule>
  </conditionalFormatting>
  <conditionalFormatting sqref="H344">
    <cfRule type="expression" dxfId="2" priority="1">
      <formula>H344="Оплачено"</formula>
    </cfRule>
    <cfRule type="expression" dxfId="3" priority="2">
      <formula>H344="Не оплачено"</formula>
    </cfRule>
  </conditionalFormatting>
  <conditionalFormatting sqref="I344">
    <cfRule type="expression" dxfId="4" priority="1">
      <formula>I344="Принято"</formula>
    </cfRule>
    <cfRule type="expression" dxfId="3" priority="2">
      <formula>I344="Отклонено"</formula>
    </cfRule>
    <cfRule type="expression" dxfId="5" priority="3">
      <formula>I344="Отправлено"</formula>
    </cfRule>
  </conditionalFormatting>
  <conditionalFormatting sqref="H345">
    <cfRule type="expression" dxfId="2" priority="1">
      <formula>H345="Оплачено"</formula>
    </cfRule>
    <cfRule type="expression" dxfId="3" priority="2">
      <formula>H345="Не оплачено"</formula>
    </cfRule>
  </conditionalFormatting>
  <conditionalFormatting sqref="I345">
    <cfRule type="expression" dxfId="4" priority="1">
      <formula>I345="Принято"</formula>
    </cfRule>
    <cfRule type="expression" dxfId="3" priority="2">
      <formula>I345="Отклонено"</formula>
    </cfRule>
    <cfRule type="expression" dxfId="5" priority="3">
      <formula>I345="Отправлено"</formula>
    </cfRule>
  </conditionalFormatting>
  <conditionalFormatting sqref="H346">
    <cfRule type="expression" dxfId="2" priority="1">
      <formula>H346="Оплачено"</formula>
    </cfRule>
    <cfRule type="expression" dxfId="3" priority="2">
      <formula>H346="Не оплачено"</formula>
    </cfRule>
  </conditionalFormatting>
  <conditionalFormatting sqref="I346">
    <cfRule type="expression" dxfId="4" priority="1">
      <formula>I346="Принято"</formula>
    </cfRule>
    <cfRule type="expression" dxfId="3" priority="2">
      <formula>I346="Отклонено"</formula>
    </cfRule>
    <cfRule type="expression" dxfId="5" priority="3">
      <formula>I346="Отправлено"</formula>
    </cfRule>
  </conditionalFormatting>
  <conditionalFormatting sqref="H347">
    <cfRule type="expression" dxfId="2" priority="1">
      <formula>H347="Оплачено"</formula>
    </cfRule>
    <cfRule type="expression" dxfId="3" priority="2">
      <formula>H347="Не оплачено"</formula>
    </cfRule>
  </conditionalFormatting>
  <conditionalFormatting sqref="I347">
    <cfRule type="expression" dxfId="4" priority="1">
      <formula>I347="Принято"</formula>
    </cfRule>
    <cfRule type="expression" dxfId="3" priority="2">
      <formula>I347="Отклонено"</formula>
    </cfRule>
    <cfRule type="expression" dxfId="5" priority="3">
      <formula>I347="Отправлено"</formula>
    </cfRule>
  </conditionalFormatting>
  <conditionalFormatting sqref="H348">
    <cfRule type="expression" dxfId="2" priority="1">
      <formula>H348="Оплачено"</formula>
    </cfRule>
    <cfRule type="expression" dxfId="3" priority="2">
      <formula>H348="Не оплачено"</formula>
    </cfRule>
  </conditionalFormatting>
  <conditionalFormatting sqref="I348">
    <cfRule type="expression" dxfId="4" priority="1">
      <formula>I348="Принято"</formula>
    </cfRule>
    <cfRule type="expression" dxfId="3" priority="2">
      <formula>I348="Отклонено"</formula>
    </cfRule>
    <cfRule type="expression" dxfId="5" priority="3">
      <formula>I348="Отправлено"</formula>
    </cfRule>
  </conditionalFormatting>
  <conditionalFormatting sqref="H349">
    <cfRule type="expression" dxfId="2" priority="1">
      <formula>H349="Оплачено"</formula>
    </cfRule>
    <cfRule type="expression" dxfId="3" priority="2">
      <formula>H349="Не оплачено"</formula>
    </cfRule>
  </conditionalFormatting>
  <conditionalFormatting sqref="I349">
    <cfRule type="expression" dxfId="4" priority="1">
      <formula>I349="Принято"</formula>
    </cfRule>
    <cfRule type="expression" dxfId="3" priority="2">
      <formula>I349="Отклонено"</formula>
    </cfRule>
    <cfRule type="expression" dxfId="5" priority="3">
      <formula>I349="Отправлено"</formula>
    </cfRule>
  </conditionalFormatting>
  <conditionalFormatting sqref="H350">
    <cfRule type="expression" dxfId="2" priority="1">
      <formula>H350="Оплачено"</formula>
    </cfRule>
    <cfRule type="expression" dxfId="3" priority="2">
      <formula>H350="Не оплачено"</formula>
    </cfRule>
  </conditionalFormatting>
  <conditionalFormatting sqref="I350">
    <cfRule type="expression" dxfId="4" priority="1">
      <formula>I350="Принято"</formula>
    </cfRule>
    <cfRule type="expression" dxfId="3" priority="2">
      <formula>I350="Отклонено"</formula>
    </cfRule>
    <cfRule type="expression" dxfId="5" priority="3">
      <formula>I350="Отправлено"</formula>
    </cfRule>
  </conditionalFormatting>
  <conditionalFormatting sqref="H351">
    <cfRule type="expression" dxfId="2" priority="1">
      <formula>H351="Оплачено"</formula>
    </cfRule>
    <cfRule type="expression" dxfId="3" priority="2">
      <formula>H351="Не оплачено"</formula>
    </cfRule>
  </conditionalFormatting>
  <conditionalFormatting sqref="I351">
    <cfRule type="expression" dxfId="4" priority="1">
      <formula>I351="Принято"</formula>
    </cfRule>
    <cfRule type="expression" dxfId="3" priority="2">
      <formula>I351="Отклонено"</formula>
    </cfRule>
    <cfRule type="expression" dxfId="5" priority="3">
      <formula>I351="Отправлено"</formula>
    </cfRule>
  </conditionalFormatting>
  <conditionalFormatting sqref="H352">
    <cfRule type="expression" dxfId="2" priority="1">
      <formula>H352="Оплачено"</formula>
    </cfRule>
    <cfRule type="expression" dxfId="3" priority="2">
      <formula>H352="Не оплачено"</formula>
    </cfRule>
  </conditionalFormatting>
  <conditionalFormatting sqref="I352">
    <cfRule type="expression" dxfId="4" priority="1">
      <formula>I352="Принято"</formula>
    </cfRule>
    <cfRule type="expression" dxfId="3" priority="2">
      <formula>I352="Отклонено"</formula>
    </cfRule>
    <cfRule type="expression" dxfId="5" priority="3">
      <formula>I352="Отправлено"</formula>
    </cfRule>
  </conditionalFormatting>
  <conditionalFormatting sqref="H353">
    <cfRule type="expression" dxfId="2" priority="1">
      <formula>H353="Оплачено"</formula>
    </cfRule>
    <cfRule type="expression" dxfId="3" priority="2">
      <formula>H353="Не оплачено"</formula>
    </cfRule>
  </conditionalFormatting>
  <conditionalFormatting sqref="I353">
    <cfRule type="expression" dxfId="4" priority="1">
      <formula>I353="Принято"</formula>
    </cfRule>
    <cfRule type="expression" dxfId="3" priority="2">
      <formula>I353="Отклонено"</formula>
    </cfRule>
    <cfRule type="expression" dxfId="5" priority="3">
      <formula>I353="Отправлено"</formula>
    </cfRule>
  </conditionalFormatting>
  <conditionalFormatting sqref="H354">
    <cfRule type="expression" dxfId="2" priority="1">
      <formula>H354="Оплачено"</formula>
    </cfRule>
    <cfRule type="expression" dxfId="3" priority="2">
      <formula>H354="Не оплачено"</formula>
    </cfRule>
  </conditionalFormatting>
  <conditionalFormatting sqref="I354">
    <cfRule type="expression" dxfId="4" priority="1">
      <formula>I354="Принято"</formula>
    </cfRule>
    <cfRule type="expression" dxfId="3" priority="2">
      <formula>I354="Отклонено"</formula>
    </cfRule>
    <cfRule type="expression" dxfId="5" priority="3">
      <formula>I354="Отправлено"</formula>
    </cfRule>
  </conditionalFormatting>
  <conditionalFormatting sqref="H355">
    <cfRule type="expression" dxfId="2" priority="1">
      <formula>H355="Оплачено"</formula>
    </cfRule>
    <cfRule type="expression" dxfId="3" priority="2">
      <formula>H355="Не оплачено"</formula>
    </cfRule>
  </conditionalFormatting>
  <conditionalFormatting sqref="I355">
    <cfRule type="expression" dxfId="4" priority="1">
      <formula>I355="Принято"</formula>
    </cfRule>
    <cfRule type="expression" dxfId="3" priority="2">
      <formula>I355="Отклонено"</formula>
    </cfRule>
    <cfRule type="expression" dxfId="5" priority="3">
      <formula>I355="Отправлено"</formula>
    </cfRule>
  </conditionalFormatting>
  <conditionalFormatting sqref="H356">
    <cfRule type="expression" dxfId="2" priority="1">
      <formula>H356="Оплачено"</formula>
    </cfRule>
    <cfRule type="expression" dxfId="3" priority="2">
      <formula>H356="Не оплачено"</formula>
    </cfRule>
  </conditionalFormatting>
  <conditionalFormatting sqref="I356">
    <cfRule type="expression" dxfId="4" priority="1">
      <formula>I356="Принято"</formula>
    </cfRule>
    <cfRule type="expression" dxfId="3" priority="2">
      <formula>I356="Отклонено"</formula>
    </cfRule>
    <cfRule type="expression" dxfId="5" priority="3">
      <formula>I356="Отправлено"</formula>
    </cfRule>
  </conditionalFormatting>
  <conditionalFormatting sqref="H357">
    <cfRule type="expression" dxfId="2" priority="1">
      <formula>H357="Оплачено"</formula>
    </cfRule>
    <cfRule type="expression" dxfId="3" priority="2">
      <formula>H357="Не оплачено"</formula>
    </cfRule>
  </conditionalFormatting>
  <conditionalFormatting sqref="I357">
    <cfRule type="expression" dxfId="4" priority="1">
      <formula>I357="Принято"</formula>
    </cfRule>
    <cfRule type="expression" dxfId="3" priority="2">
      <formula>I357="Отклонено"</formula>
    </cfRule>
    <cfRule type="expression" dxfId="5" priority="3">
      <formula>I357="Отправлено"</formula>
    </cfRule>
  </conditionalFormatting>
  <conditionalFormatting sqref="H358">
    <cfRule type="expression" dxfId="2" priority="1">
      <formula>H358="Оплачено"</formula>
    </cfRule>
    <cfRule type="expression" dxfId="3" priority="2">
      <formula>H358="Не оплачено"</formula>
    </cfRule>
  </conditionalFormatting>
  <conditionalFormatting sqref="I358">
    <cfRule type="expression" dxfId="4" priority="1">
      <formula>I358="Принято"</formula>
    </cfRule>
    <cfRule type="expression" dxfId="3" priority="2">
      <formula>I358="Отклонено"</formula>
    </cfRule>
    <cfRule type="expression" dxfId="5" priority="3">
      <formula>I358="Отправлено"</formula>
    </cfRule>
  </conditionalFormatting>
  <conditionalFormatting sqref="H359">
    <cfRule type="expression" dxfId="2" priority="1">
      <formula>H359="Оплачено"</formula>
    </cfRule>
    <cfRule type="expression" dxfId="3" priority="2">
      <formula>H359="Не оплачено"</formula>
    </cfRule>
  </conditionalFormatting>
  <conditionalFormatting sqref="I359">
    <cfRule type="expression" dxfId="4" priority="1">
      <formula>I359="Принято"</formula>
    </cfRule>
    <cfRule type="expression" dxfId="3" priority="2">
      <formula>I359="Отклонено"</formula>
    </cfRule>
    <cfRule type="expression" dxfId="5" priority="3">
      <formula>I359="Отправлено"</formula>
    </cfRule>
  </conditionalFormatting>
  <conditionalFormatting sqref="H360">
    <cfRule type="expression" dxfId="2" priority="1">
      <formula>H360="Оплачено"</formula>
    </cfRule>
    <cfRule type="expression" dxfId="3" priority="2">
      <formula>H360="Не оплачено"</formula>
    </cfRule>
  </conditionalFormatting>
  <conditionalFormatting sqref="I360">
    <cfRule type="expression" dxfId="4" priority="1">
      <formula>I360="Принято"</formula>
    </cfRule>
    <cfRule type="expression" dxfId="3" priority="2">
      <formula>I360="Отклонено"</formula>
    </cfRule>
    <cfRule type="expression" dxfId="5" priority="3">
      <formula>I360="Отправлено"</formula>
    </cfRule>
  </conditionalFormatting>
  <conditionalFormatting sqref="H361">
    <cfRule type="expression" dxfId="2" priority="1">
      <formula>H361="Оплачено"</formula>
    </cfRule>
    <cfRule type="expression" dxfId="3" priority="2">
      <formula>H361="Не оплачено"</formula>
    </cfRule>
  </conditionalFormatting>
  <conditionalFormatting sqref="I361">
    <cfRule type="expression" dxfId="4" priority="1">
      <formula>I361="Принято"</formula>
    </cfRule>
    <cfRule type="expression" dxfId="3" priority="2">
      <formula>I361="Отклонено"</formula>
    </cfRule>
    <cfRule type="expression" dxfId="5" priority="3">
      <formula>I361="Отправлено"</formula>
    </cfRule>
  </conditionalFormatting>
  <conditionalFormatting sqref="H362">
    <cfRule type="expression" dxfId="2" priority="1">
      <formula>H362="Оплачено"</formula>
    </cfRule>
    <cfRule type="expression" dxfId="3" priority="2">
      <formula>H362="Не оплачено"</formula>
    </cfRule>
  </conditionalFormatting>
  <conditionalFormatting sqref="I362">
    <cfRule type="expression" dxfId="4" priority="1">
      <formula>I362="Принято"</formula>
    </cfRule>
    <cfRule type="expression" dxfId="3" priority="2">
      <formula>I362="Отклонено"</formula>
    </cfRule>
    <cfRule type="expression" dxfId="5" priority="3">
      <formula>I362="Отправлено"</formula>
    </cfRule>
  </conditionalFormatting>
  <conditionalFormatting sqref="H363">
    <cfRule type="expression" dxfId="2" priority="1">
      <formula>H363="Оплачено"</formula>
    </cfRule>
    <cfRule type="expression" dxfId="3" priority="2">
      <formula>H363="Не оплачено"</formula>
    </cfRule>
  </conditionalFormatting>
  <conditionalFormatting sqref="I363">
    <cfRule type="expression" dxfId="4" priority="1">
      <formula>I363="Принято"</formula>
    </cfRule>
    <cfRule type="expression" dxfId="3" priority="2">
      <formula>I363="Отклонено"</formula>
    </cfRule>
    <cfRule type="expression" dxfId="5" priority="3">
      <formula>I363="Отправлено"</formula>
    </cfRule>
  </conditionalFormatting>
  <conditionalFormatting sqref="H364">
    <cfRule type="expression" dxfId="2" priority="1">
      <formula>H364="Оплачено"</formula>
    </cfRule>
    <cfRule type="expression" dxfId="3" priority="2">
      <formula>H364="Не оплачено"</formula>
    </cfRule>
  </conditionalFormatting>
  <conditionalFormatting sqref="I364">
    <cfRule type="expression" dxfId="4" priority="1">
      <formula>I364="Принято"</formula>
    </cfRule>
    <cfRule type="expression" dxfId="3" priority="2">
      <formula>I364="Отклонено"</formula>
    </cfRule>
    <cfRule type="expression" dxfId="5" priority="3">
      <formula>I364="Отправлено"</formula>
    </cfRule>
  </conditionalFormatting>
  <conditionalFormatting sqref="H365">
    <cfRule type="expression" dxfId="2" priority="1">
      <formula>H365="Оплачено"</formula>
    </cfRule>
    <cfRule type="expression" dxfId="3" priority="2">
      <formula>H365="Не оплачено"</formula>
    </cfRule>
  </conditionalFormatting>
  <conditionalFormatting sqref="I365">
    <cfRule type="expression" dxfId="4" priority="1">
      <formula>I365="Принято"</formula>
    </cfRule>
    <cfRule type="expression" dxfId="3" priority="2">
      <formula>I365="Отклонено"</formula>
    </cfRule>
    <cfRule type="expression" dxfId="5" priority="3">
      <formula>I365="Отправлено"</formula>
    </cfRule>
  </conditionalFormatting>
  <conditionalFormatting sqref="H366">
    <cfRule type="expression" dxfId="2" priority="1">
      <formula>H366="Оплачено"</formula>
    </cfRule>
    <cfRule type="expression" dxfId="3" priority="2">
      <formula>H366="Не оплачено"</formula>
    </cfRule>
  </conditionalFormatting>
  <conditionalFormatting sqref="I366">
    <cfRule type="expression" dxfId="4" priority="1">
      <formula>I366="Принято"</formula>
    </cfRule>
    <cfRule type="expression" dxfId="3" priority="2">
      <formula>I366="Отклонено"</formula>
    </cfRule>
    <cfRule type="expression" dxfId="5" priority="3">
      <formula>I366="Отправлено"</formula>
    </cfRule>
  </conditionalFormatting>
  <conditionalFormatting sqref="H367">
    <cfRule type="expression" dxfId="2" priority="1">
      <formula>H367="Оплачено"</formula>
    </cfRule>
    <cfRule type="expression" dxfId="3" priority="2">
      <formula>H367="Не оплачено"</formula>
    </cfRule>
  </conditionalFormatting>
  <conditionalFormatting sqref="I367">
    <cfRule type="expression" dxfId="4" priority="1">
      <formula>I367="Принято"</formula>
    </cfRule>
    <cfRule type="expression" dxfId="3" priority="2">
      <formula>I367="Отклонено"</formula>
    </cfRule>
    <cfRule type="expression" dxfId="5" priority="3">
      <formula>I367="Отправлено"</formula>
    </cfRule>
  </conditionalFormatting>
  <conditionalFormatting sqref="H368">
    <cfRule type="expression" dxfId="2" priority="1">
      <formula>H368="Оплачено"</formula>
    </cfRule>
    <cfRule type="expression" dxfId="3" priority="2">
      <formula>H368="Не оплачено"</formula>
    </cfRule>
  </conditionalFormatting>
  <conditionalFormatting sqref="I368">
    <cfRule type="expression" dxfId="4" priority="1">
      <formula>I368="Принято"</formula>
    </cfRule>
    <cfRule type="expression" dxfId="3" priority="2">
      <formula>I368="Отклонено"</formula>
    </cfRule>
    <cfRule type="expression" dxfId="5" priority="3">
      <formula>I368="Отправлено"</formula>
    </cfRule>
  </conditionalFormatting>
  <conditionalFormatting sqref="H369">
    <cfRule type="expression" dxfId="2" priority="1">
      <formula>H369="Оплачено"</formula>
    </cfRule>
    <cfRule type="expression" dxfId="3" priority="2">
      <formula>H369="Не оплачено"</formula>
    </cfRule>
  </conditionalFormatting>
  <conditionalFormatting sqref="I369">
    <cfRule type="expression" dxfId="4" priority="1">
      <formula>I369="Принято"</formula>
    </cfRule>
    <cfRule type="expression" dxfId="3" priority="2">
      <formula>I369="Отклонено"</formula>
    </cfRule>
    <cfRule type="expression" dxfId="5" priority="3">
      <formula>I369="Отправлено"</formula>
    </cfRule>
  </conditionalFormatting>
  <conditionalFormatting sqref="H370">
    <cfRule type="expression" dxfId="2" priority="1">
      <formula>H370="Оплачено"</formula>
    </cfRule>
    <cfRule type="expression" dxfId="3" priority="2">
      <formula>H370="Не оплачено"</formula>
    </cfRule>
  </conditionalFormatting>
  <conditionalFormatting sqref="I370">
    <cfRule type="expression" dxfId="4" priority="1">
      <formula>I370="Принято"</formula>
    </cfRule>
    <cfRule type="expression" dxfId="3" priority="2">
      <formula>I370="Отклонено"</formula>
    </cfRule>
    <cfRule type="expression" dxfId="5" priority="3">
      <formula>I370="Отправлено"</formula>
    </cfRule>
  </conditionalFormatting>
  <conditionalFormatting sqref="H371">
    <cfRule type="expression" dxfId="2" priority="1">
      <formula>H371="Оплачено"</formula>
    </cfRule>
    <cfRule type="expression" dxfId="3" priority="2">
      <formula>H371="Не оплачено"</formula>
    </cfRule>
  </conditionalFormatting>
  <conditionalFormatting sqref="I371">
    <cfRule type="expression" dxfId="4" priority="1">
      <formula>I371="Принято"</formula>
    </cfRule>
    <cfRule type="expression" dxfId="3" priority="2">
      <formula>I371="Отклонено"</formula>
    </cfRule>
    <cfRule type="expression" dxfId="5" priority="3">
      <formula>I371="Отправлено"</formula>
    </cfRule>
  </conditionalFormatting>
  <conditionalFormatting sqref="H372">
    <cfRule type="expression" dxfId="2" priority="1">
      <formula>H372="Оплачено"</formula>
    </cfRule>
    <cfRule type="expression" dxfId="3" priority="2">
      <formula>H372="Не оплачено"</formula>
    </cfRule>
  </conditionalFormatting>
  <conditionalFormatting sqref="I372">
    <cfRule type="expression" dxfId="4" priority="1">
      <formula>I372="Принято"</formula>
    </cfRule>
    <cfRule type="expression" dxfId="3" priority="2">
      <formula>I372="Отклонено"</formula>
    </cfRule>
    <cfRule type="expression" dxfId="5" priority="3">
      <formula>I372="Отправлено"</formula>
    </cfRule>
  </conditionalFormatting>
  <conditionalFormatting sqref="H373">
    <cfRule type="expression" dxfId="2" priority="1">
      <formula>H373="Оплачено"</formula>
    </cfRule>
    <cfRule type="expression" dxfId="3" priority="2">
      <formula>H373="Не оплачено"</formula>
    </cfRule>
  </conditionalFormatting>
  <conditionalFormatting sqref="I373">
    <cfRule type="expression" dxfId="4" priority="1">
      <formula>I373="Принято"</formula>
    </cfRule>
    <cfRule type="expression" dxfId="3" priority="2">
      <formula>I373="Отклонено"</formula>
    </cfRule>
    <cfRule type="expression" dxfId="5" priority="3">
      <formula>I373="Отправлено"</formula>
    </cfRule>
  </conditionalFormatting>
  <conditionalFormatting sqref="H374">
    <cfRule type="expression" dxfId="2" priority="1">
      <formula>H374="Оплачено"</formula>
    </cfRule>
    <cfRule type="expression" dxfId="3" priority="2">
      <formula>H374="Не оплачено"</formula>
    </cfRule>
  </conditionalFormatting>
  <conditionalFormatting sqref="I374">
    <cfRule type="expression" dxfId="4" priority="1">
      <formula>I374="Принято"</formula>
    </cfRule>
    <cfRule type="expression" dxfId="3" priority="2">
      <formula>I374="Отклонено"</formula>
    </cfRule>
    <cfRule type="expression" dxfId="5" priority="3">
      <formula>I374="Отправлено"</formula>
    </cfRule>
  </conditionalFormatting>
  <conditionalFormatting sqref="H375">
    <cfRule type="expression" dxfId="2" priority="1">
      <formula>H375="Оплачено"</formula>
    </cfRule>
    <cfRule type="expression" dxfId="3" priority="2">
      <formula>H375="Не оплачено"</formula>
    </cfRule>
  </conditionalFormatting>
  <conditionalFormatting sqref="I375">
    <cfRule type="expression" dxfId="4" priority="1">
      <formula>I375="Принято"</formula>
    </cfRule>
    <cfRule type="expression" dxfId="3" priority="2">
      <formula>I375="Отклонено"</formula>
    </cfRule>
    <cfRule type="expression" dxfId="5" priority="3">
      <formula>I375="Отправлено"</formula>
    </cfRule>
  </conditionalFormatting>
  <conditionalFormatting sqref="H376">
    <cfRule type="expression" dxfId="2" priority="1">
      <formula>H376="Оплачено"</formula>
    </cfRule>
    <cfRule type="expression" dxfId="3" priority="2">
      <formula>H376="Не оплачено"</formula>
    </cfRule>
  </conditionalFormatting>
  <conditionalFormatting sqref="I376">
    <cfRule type="expression" dxfId="4" priority="1">
      <formula>I376="Принято"</formula>
    </cfRule>
    <cfRule type="expression" dxfId="3" priority="2">
      <formula>I376="Отклонено"</formula>
    </cfRule>
    <cfRule type="expression" dxfId="5" priority="3">
      <formula>I376="Отправлено"</formula>
    </cfRule>
  </conditionalFormatting>
  <conditionalFormatting sqref="H377">
    <cfRule type="expression" dxfId="2" priority="1">
      <formula>H377="Оплачено"</formula>
    </cfRule>
    <cfRule type="expression" dxfId="3" priority="2">
      <formula>H377="Не оплачено"</formula>
    </cfRule>
  </conditionalFormatting>
  <conditionalFormatting sqref="I377">
    <cfRule type="expression" dxfId="4" priority="1">
      <formula>I377="Принято"</formula>
    </cfRule>
    <cfRule type="expression" dxfId="3" priority="2">
      <formula>I377="Отклонено"</formula>
    </cfRule>
    <cfRule type="expression" dxfId="5" priority="3">
      <formula>I377="Отправлено"</formula>
    </cfRule>
  </conditionalFormatting>
  <conditionalFormatting sqref="H378">
    <cfRule type="expression" dxfId="2" priority="1">
      <formula>H378="Оплачено"</formula>
    </cfRule>
    <cfRule type="expression" dxfId="3" priority="2">
      <formula>H378="Не оплачено"</formula>
    </cfRule>
  </conditionalFormatting>
  <conditionalFormatting sqref="I378">
    <cfRule type="expression" dxfId="4" priority="1">
      <formula>I378="Принято"</formula>
    </cfRule>
    <cfRule type="expression" dxfId="3" priority="2">
      <formula>I378="Отклонено"</formula>
    </cfRule>
    <cfRule type="expression" dxfId="5" priority="3">
      <formula>I378="Отправлено"</formula>
    </cfRule>
  </conditionalFormatting>
  <conditionalFormatting sqref="H379">
    <cfRule type="expression" dxfId="2" priority="1">
      <formula>H379="Оплачено"</formula>
    </cfRule>
    <cfRule type="expression" dxfId="3" priority="2">
      <formula>H379="Не оплачено"</formula>
    </cfRule>
  </conditionalFormatting>
  <conditionalFormatting sqref="I379">
    <cfRule type="expression" dxfId="4" priority="1">
      <formula>I379="Принято"</formula>
    </cfRule>
    <cfRule type="expression" dxfId="3" priority="2">
      <formula>I379="Отклонено"</formula>
    </cfRule>
    <cfRule type="expression" dxfId="5" priority="3">
      <formula>I379="Отправлено"</formula>
    </cfRule>
  </conditionalFormatting>
  <conditionalFormatting sqref="H380">
    <cfRule type="expression" dxfId="2" priority="1">
      <formula>H380="Оплачено"</formula>
    </cfRule>
    <cfRule type="expression" dxfId="3" priority="2">
      <formula>H380="Не оплачено"</formula>
    </cfRule>
  </conditionalFormatting>
  <conditionalFormatting sqref="I380">
    <cfRule type="expression" dxfId="4" priority="1">
      <formula>I380="Принято"</formula>
    </cfRule>
    <cfRule type="expression" dxfId="3" priority="2">
      <formula>I380="Отклонено"</formula>
    </cfRule>
    <cfRule type="expression" dxfId="5" priority="3">
      <formula>I380="Отправлено"</formula>
    </cfRule>
  </conditionalFormatting>
  <conditionalFormatting sqref="H381">
    <cfRule type="expression" dxfId="2" priority="1">
      <formula>H381="Оплачено"</formula>
    </cfRule>
    <cfRule type="expression" dxfId="3" priority="2">
      <formula>H381="Не оплачено"</formula>
    </cfRule>
  </conditionalFormatting>
  <conditionalFormatting sqref="I381">
    <cfRule type="expression" dxfId="4" priority="1">
      <formula>I381="Принято"</formula>
    </cfRule>
    <cfRule type="expression" dxfId="3" priority="2">
      <formula>I381="Отклонено"</formula>
    </cfRule>
    <cfRule type="expression" dxfId="5" priority="3">
      <formula>I381="Отправлено"</formula>
    </cfRule>
  </conditionalFormatting>
  <conditionalFormatting sqref="H382">
    <cfRule type="expression" dxfId="2" priority="1">
      <formula>H382="Оплачено"</formula>
    </cfRule>
    <cfRule type="expression" dxfId="3" priority="2">
      <formula>H382="Не оплачено"</formula>
    </cfRule>
  </conditionalFormatting>
  <conditionalFormatting sqref="I382">
    <cfRule type="expression" dxfId="4" priority="1">
      <formula>I382="Принято"</formula>
    </cfRule>
    <cfRule type="expression" dxfId="3" priority="2">
      <formula>I382="Отклонено"</formula>
    </cfRule>
    <cfRule type="expression" dxfId="5" priority="3">
      <formula>I382="Отправлено"</formula>
    </cfRule>
  </conditionalFormatting>
  <conditionalFormatting sqref="H383">
    <cfRule type="expression" dxfId="2" priority="1">
      <formula>H383="Оплачено"</formula>
    </cfRule>
    <cfRule type="expression" dxfId="3" priority="2">
      <formula>H383="Не оплачено"</formula>
    </cfRule>
  </conditionalFormatting>
  <conditionalFormatting sqref="I383">
    <cfRule type="expression" dxfId="4" priority="1">
      <formula>I383="Принято"</formula>
    </cfRule>
    <cfRule type="expression" dxfId="3" priority="2">
      <formula>I383="Отклонено"</formula>
    </cfRule>
    <cfRule type="expression" dxfId="5" priority="3">
      <formula>I383="Отправлено"</formula>
    </cfRule>
  </conditionalFormatting>
  <conditionalFormatting sqref="H384">
    <cfRule type="expression" dxfId="2" priority="1">
      <formula>H384="Оплачено"</formula>
    </cfRule>
    <cfRule type="expression" dxfId="3" priority="2">
      <formula>H384="Не оплачено"</formula>
    </cfRule>
  </conditionalFormatting>
  <conditionalFormatting sqref="I384">
    <cfRule type="expression" dxfId="4" priority="1">
      <formula>I384="Принято"</formula>
    </cfRule>
    <cfRule type="expression" dxfId="3" priority="2">
      <formula>I384="Отклонено"</formula>
    </cfRule>
    <cfRule type="expression" dxfId="5" priority="3">
      <formula>I384="Отправлено"</formula>
    </cfRule>
  </conditionalFormatting>
  <conditionalFormatting sqref="H385">
    <cfRule type="expression" dxfId="2" priority="1">
      <formula>H385="Оплачено"</formula>
    </cfRule>
    <cfRule type="expression" dxfId="3" priority="2">
      <formula>H385="Не оплачено"</formula>
    </cfRule>
  </conditionalFormatting>
  <conditionalFormatting sqref="I385">
    <cfRule type="expression" dxfId="4" priority="1">
      <formula>I385="Принято"</formula>
    </cfRule>
    <cfRule type="expression" dxfId="3" priority="2">
      <formula>I385="Отклонено"</formula>
    </cfRule>
    <cfRule type="expression" dxfId="5" priority="3">
      <formula>I385="Отправлено"</formula>
    </cfRule>
  </conditionalFormatting>
  <conditionalFormatting sqref="H386">
    <cfRule type="expression" dxfId="2" priority="1">
      <formula>H386="Оплачено"</formula>
    </cfRule>
    <cfRule type="expression" dxfId="3" priority="2">
      <formula>H386="Не оплачено"</formula>
    </cfRule>
  </conditionalFormatting>
  <conditionalFormatting sqref="I386">
    <cfRule type="expression" dxfId="4" priority="1">
      <formula>I386="Принято"</formula>
    </cfRule>
    <cfRule type="expression" dxfId="3" priority="2">
      <formula>I386="Отклонено"</formula>
    </cfRule>
    <cfRule type="expression" dxfId="5" priority="3">
      <formula>I386="Отправлено"</formula>
    </cfRule>
  </conditionalFormatting>
  <conditionalFormatting sqref="H387">
    <cfRule type="expression" dxfId="2" priority="1">
      <formula>H387="Оплачено"</formula>
    </cfRule>
    <cfRule type="expression" dxfId="3" priority="2">
      <formula>H387="Не оплачено"</formula>
    </cfRule>
  </conditionalFormatting>
  <conditionalFormatting sqref="I387">
    <cfRule type="expression" dxfId="4" priority="1">
      <formula>I387="Принято"</formula>
    </cfRule>
    <cfRule type="expression" dxfId="3" priority="2">
      <formula>I387="Отклонено"</formula>
    </cfRule>
    <cfRule type="expression" dxfId="5" priority="3">
      <formula>I387="Отправлено"</formula>
    </cfRule>
  </conditionalFormatting>
  <conditionalFormatting sqref="H388">
    <cfRule type="expression" dxfId="2" priority="1">
      <formula>H388="Оплачено"</formula>
    </cfRule>
    <cfRule type="expression" dxfId="3" priority="2">
      <formula>H388="Не оплачено"</formula>
    </cfRule>
  </conditionalFormatting>
  <conditionalFormatting sqref="I388">
    <cfRule type="expression" dxfId="4" priority="1">
      <formula>I388="Принято"</formula>
    </cfRule>
    <cfRule type="expression" dxfId="3" priority="2">
      <formula>I388="Отклонено"</formula>
    </cfRule>
    <cfRule type="expression" dxfId="5" priority="3">
      <formula>I388="Отправлено"</formula>
    </cfRule>
  </conditionalFormatting>
  <conditionalFormatting sqref="H389">
    <cfRule type="expression" dxfId="2" priority="1">
      <formula>H389="Оплачено"</formula>
    </cfRule>
    <cfRule type="expression" dxfId="3" priority="2">
      <formula>H389="Не оплачено"</formula>
    </cfRule>
  </conditionalFormatting>
  <conditionalFormatting sqref="I389">
    <cfRule type="expression" dxfId="4" priority="1">
      <formula>I389="Принято"</formula>
    </cfRule>
    <cfRule type="expression" dxfId="3" priority="2">
      <formula>I389="Отклонено"</formula>
    </cfRule>
    <cfRule type="expression" dxfId="5" priority="3">
      <formula>I389="Отправлено"</formula>
    </cfRule>
  </conditionalFormatting>
  <conditionalFormatting sqref="H390">
    <cfRule type="expression" dxfId="2" priority="1">
      <formula>H390="Оплачено"</formula>
    </cfRule>
    <cfRule type="expression" dxfId="3" priority="2">
      <formula>H390="Не оплачено"</formula>
    </cfRule>
  </conditionalFormatting>
  <conditionalFormatting sqref="I390">
    <cfRule type="expression" dxfId="4" priority="1">
      <formula>I390="Принято"</formula>
    </cfRule>
    <cfRule type="expression" dxfId="3" priority="2">
      <formula>I390="Отклонено"</formula>
    </cfRule>
    <cfRule type="expression" dxfId="5" priority="3">
      <formula>I390="Отправлено"</formula>
    </cfRule>
  </conditionalFormatting>
  <conditionalFormatting sqref="H391">
    <cfRule type="expression" dxfId="2" priority="1">
      <formula>H391="Оплачено"</formula>
    </cfRule>
    <cfRule type="expression" dxfId="3" priority="2">
      <formula>H391="Не оплачено"</formula>
    </cfRule>
  </conditionalFormatting>
  <conditionalFormatting sqref="I391">
    <cfRule type="expression" dxfId="4" priority="1">
      <formula>I391="Принято"</formula>
    </cfRule>
    <cfRule type="expression" dxfId="3" priority="2">
      <formula>I391="Отклонено"</formula>
    </cfRule>
    <cfRule type="expression" dxfId="5" priority="3">
      <formula>I391="Отправлено"</formula>
    </cfRule>
  </conditionalFormatting>
  <conditionalFormatting sqref="H392">
    <cfRule type="expression" dxfId="2" priority="1">
      <formula>H392="Оплачено"</formula>
    </cfRule>
    <cfRule type="expression" dxfId="3" priority="2">
      <formula>H392="Не оплачено"</formula>
    </cfRule>
  </conditionalFormatting>
  <conditionalFormatting sqref="I392">
    <cfRule type="expression" dxfId="4" priority="1">
      <formula>I392="Принято"</formula>
    </cfRule>
    <cfRule type="expression" dxfId="3" priority="2">
      <formula>I392="Отклонено"</formula>
    </cfRule>
    <cfRule type="expression" dxfId="5" priority="3">
      <formula>I392="Отправлено"</formula>
    </cfRule>
  </conditionalFormatting>
  <conditionalFormatting sqref="H393">
    <cfRule type="expression" dxfId="2" priority="1">
      <formula>H393="Оплачено"</formula>
    </cfRule>
    <cfRule type="expression" dxfId="3" priority="2">
      <formula>H393="Не оплачено"</formula>
    </cfRule>
  </conditionalFormatting>
  <conditionalFormatting sqref="I393">
    <cfRule type="expression" dxfId="4" priority="1">
      <formula>I393="Принято"</formula>
    </cfRule>
    <cfRule type="expression" dxfId="3" priority="2">
      <formula>I393="Отклонено"</formula>
    </cfRule>
    <cfRule type="expression" dxfId="5" priority="3">
      <formula>I393="Отправлено"</formula>
    </cfRule>
  </conditionalFormatting>
  <conditionalFormatting sqref="H394">
    <cfRule type="expression" dxfId="2" priority="1">
      <formula>H394="Оплачено"</formula>
    </cfRule>
    <cfRule type="expression" dxfId="3" priority="2">
      <formula>H394="Не оплачено"</formula>
    </cfRule>
  </conditionalFormatting>
  <conditionalFormatting sqref="I394">
    <cfRule type="expression" dxfId="4" priority="1">
      <formula>I394="Принято"</formula>
    </cfRule>
    <cfRule type="expression" dxfId="3" priority="2">
      <formula>I394="Отклонено"</formula>
    </cfRule>
    <cfRule type="expression" dxfId="5" priority="3">
      <formula>I394="Отправлено"</formula>
    </cfRule>
  </conditionalFormatting>
  <conditionalFormatting sqref="H395">
    <cfRule type="expression" dxfId="2" priority="1">
      <formula>H395="Оплачено"</formula>
    </cfRule>
    <cfRule type="expression" dxfId="3" priority="2">
      <formula>H395="Не оплачено"</formula>
    </cfRule>
  </conditionalFormatting>
  <conditionalFormatting sqref="I395">
    <cfRule type="expression" dxfId="4" priority="1">
      <formula>I395="Принято"</formula>
    </cfRule>
    <cfRule type="expression" dxfId="3" priority="2">
      <formula>I395="Отклонено"</formula>
    </cfRule>
    <cfRule type="expression" dxfId="5" priority="3">
      <formula>I395="Отправлено"</formula>
    </cfRule>
  </conditionalFormatting>
  <conditionalFormatting sqref="H396">
    <cfRule type="expression" dxfId="2" priority="1">
      <formula>H396="Оплачено"</formula>
    </cfRule>
    <cfRule type="expression" dxfId="3" priority="2">
      <formula>H396="Не оплачено"</formula>
    </cfRule>
  </conditionalFormatting>
  <conditionalFormatting sqref="I396">
    <cfRule type="expression" dxfId="4" priority="1">
      <formula>I396="Принято"</formula>
    </cfRule>
    <cfRule type="expression" dxfId="3" priority="2">
      <formula>I396="Отклонено"</formula>
    </cfRule>
    <cfRule type="expression" dxfId="5" priority="3">
      <formula>I396="Отправлено"</formula>
    </cfRule>
  </conditionalFormatting>
  <conditionalFormatting sqref="H397">
    <cfRule type="expression" dxfId="2" priority="1">
      <formula>H397="Оплачено"</formula>
    </cfRule>
    <cfRule type="expression" dxfId="3" priority="2">
      <formula>H397="Не оплачено"</formula>
    </cfRule>
  </conditionalFormatting>
  <conditionalFormatting sqref="I397">
    <cfRule type="expression" dxfId="4" priority="1">
      <formula>I397="Принято"</formula>
    </cfRule>
    <cfRule type="expression" dxfId="3" priority="2">
      <formula>I397="Отклонено"</formula>
    </cfRule>
    <cfRule type="expression" dxfId="5" priority="3">
      <formula>I397="Отправлено"</formula>
    </cfRule>
  </conditionalFormatting>
  <conditionalFormatting sqref="H398">
    <cfRule type="expression" dxfId="2" priority="1">
      <formula>H398="Оплачено"</formula>
    </cfRule>
    <cfRule type="expression" dxfId="3" priority="2">
      <formula>H398="Не оплачено"</formula>
    </cfRule>
  </conditionalFormatting>
  <conditionalFormatting sqref="I398">
    <cfRule type="expression" dxfId="4" priority="1">
      <formula>I398="Принято"</formula>
    </cfRule>
    <cfRule type="expression" dxfId="3" priority="2">
      <formula>I398="Отклонено"</formula>
    </cfRule>
    <cfRule type="expression" dxfId="5" priority="3">
      <formula>I398="Отправлено"</formula>
    </cfRule>
  </conditionalFormatting>
  <conditionalFormatting sqref="H399">
    <cfRule type="expression" dxfId="2" priority="1">
      <formula>H399="Оплачено"</formula>
    </cfRule>
    <cfRule type="expression" dxfId="3" priority="2">
      <formula>H399="Не оплачено"</formula>
    </cfRule>
  </conditionalFormatting>
  <conditionalFormatting sqref="I399">
    <cfRule type="expression" dxfId="4" priority="1">
      <formula>I399="Принято"</formula>
    </cfRule>
    <cfRule type="expression" dxfId="3" priority="2">
      <formula>I399="Отклонено"</formula>
    </cfRule>
    <cfRule type="expression" dxfId="5" priority="3">
      <formula>I399="Отправлено"</formula>
    </cfRule>
  </conditionalFormatting>
  <conditionalFormatting sqref="H400">
    <cfRule type="expression" dxfId="2" priority="1">
      <formula>H400="Оплачено"</formula>
    </cfRule>
    <cfRule type="expression" dxfId="3" priority="2">
      <formula>H400="Не оплачено"</formula>
    </cfRule>
  </conditionalFormatting>
  <conditionalFormatting sqref="I400">
    <cfRule type="expression" dxfId="4" priority="1">
      <formula>I400="Принято"</formula>
    </cfRule>
    <cfRule type="expression" dxfId="3" priority="2">
      <formula>I400="Отклонено"</formula>
    </cfRule>
    <cfRule type="expression" dxfId="5" priority="3">
      <formula>I400="Отправлено"</formula>
    </cfRule>
  </conditionalFormatting>
  <conditionalFormatting sqref="H401">
    <cfRule type="expression" dxfId="2" priority="1">
      <formula>H401="Оплачено"</formula>
    </cfRule>
    <cfRule type="expression" dxfId="3" priority="2">
      <formula>H401="Не оплачено"</formula>
    </cfRule>
  </conditionalFormatting>
  <conditionalFormatting sqref="I401">
    <cfRule type="expression" dxfId="4" priority="1">
      <formula>I401="Принято"</formula>
    </cfRule>
    <cfRule type="expression" dxfId="3" priority="2">
      <formula>I401="Отклонено"</formula>
    </cfRule>
    <cfRule type="expression" dxfId="5" priority="3">
      <formula>I401="Отправлено"</formula>
    </cfRule>
  </conditionalFormatting>
  <conditionalFormatting sqref="H402">
    <cfRule type="expression" dxfId="2" priority="1">
      <formula>H402="Оплачено"</formula>
    </cfRule>
    <cfRule type="expression" dxfId="3" priority="2">
      <formula>H402="Не оплачено"</formula>
    </cfRule>
  </conditionalFormatting>
  <conditionalFormatting sqref="I402">
    <cfRule type="expression" dxfId="4" priority="1">
      <formula>I402="Принято"</formula>
    </cfRule>
    <cfRule type="expression" dxfId="3" priority="2">
      <formula>I402="Отклонено"</formula>
    </cfRule>
    <cfRule type="expression" dxfId="5" priority="3">
      <formula>I402="Отправлено"</formula>
    </cfRule>
  </conditionalFormatting>
  <conditionalFormatting sqref="H403">
    <cfRule type="expression" dxfId="2" priority="1">
      <formula>H403="Оплачено"</formula>
    </cfRule>
    <cfRule type="expression" dxfId="3" priority="2">
      <formula>H403="Не оплачено"</formula>
    </cfRule>
  </conditionalFormatting>
  <conditionalFormatting sqref="I403">
    <cfRule type="expression" dxfId="4" priority="1">
      <formula>I403="Принято"</formula>
    </cfRule>
    <cfRule type="expression" dxfId="3" priority="2">
      <formula>I403="Отклонено"</formula>
    </cfRule>
    <cfRule type="expression" dxfId="5" priority="3">
      <formula>I403="Отправлено"</formula>
    </cfRule>
  </conditionalFormatting>
  <conditionalFormatting sqref="H404">
    <cfRule type="expression" dxfId="2" priority="1">
      <formula>H404="Оплачено"</formula>
    </cfRule>
    <cfRule type="expression" dxfId="3" priority="2">
      <formula>H404="Не оплачено"</formula>
    </cfRule>
  </conditionalFormatting>
  <conditionalFormatting sqref="I404">
    <cfRule type="expression" dxfId="4" priority="1">
      <formula>I404="Принято"</formula>
    </cfRule>
    <cfRule type="expression" dxfId="3" priority="2">
      <formula>I404="Отклонено"</formula>
    </cfRule>
    <cfRule type="expression" dxfId="5" priority="3">
      <formula>I404="Отправлено"</formula>
    </cfRule>
  </conditionalFormatting>
  <conditionalFormatting sqref="H405">
    <cfRule type="expression" dxfId="2" priority="1">
      <formula>H405="Оплачено"</formula>
    </cfRule>
    <cfRule type="expression" dxfId="3" priority="2">
      <formula>H405="Не оплачено"</formula>
    </cfRule>
  </conditionalFormatting>
  <conditionalFormatting sqref="I405">
    <cfRule type="expression" dxfId="4" priority="1">
      <formula>I405="Принято"</formula>
    </cfRule>
    <cfRule type="expression" dxfId="3" priority="2">
      <formula>I405="Отклонено"</formula>
    </cfRule>
    <cfRule type="expression" dxfId="5" priority="3">
      <formula>I405="Отправлено"</formula>
    </cfRule>
  </conditionalFormatting>
  <conditionalFormatting sqref="H406">
    <cfRule type="expression" dxfId="2" priority="1">
      <formula>H406="Оплачено"</formula>
    </cfRule>
    <cfRule type="expression" dxfId="3" priority="2">
      <formula>H406="Не оплачено"</formula>
    </cfRule>
  </conditionalFormatting>
  <conditionalFormatting sqref="I406">
    <cfRule type="expression" dxfId="4" priority="1">
      <formula>I406="Принято"</formula>
    </cfRule>
    <cfRule type="expression" dxfId="3" priority="2">
      <formula>I406="Отклонено"</formula>
    </cfRule>
    <cfRule type="expression" dxfId="5" priority="3">
      <formula>I406="Отправлено"</formula>
    </cfRule>
  </conditionalFormatting>
  <conditionalFormatting sqref="H407">
    <cfRule type="expression" dxfId="2" priority="1">
      <formula>H407="Оплачено"</formula>
    </cfRule>
    <cfRule type="expression" dxfId="3" priority="2">
      <formula>H407="Не оплачено"</formula>
    </cfRule>
  </conditionalFormatting>
  <conditionalFormatting sqref="I407">
    <cfRule type="expression" dxfId="4" priority="1">
      <formula>I407="Принято"</formula>
    </cfRule>
    <cfRule type="expression" dxfId="3" priority="2">
      <formula>I407="Отклонено"</formula>
    </cfRule>
    <cfRule type="expression" dxfId="5" priority="3">
      <formula>I407="Отправлено"</formula>
    </cfRule>
  </conditionalFormatting>
  <conditionalFormatting sqref="H408">
    <cfRule type="expression" dxfId="2" priority="1">
      <formula>H408="Оплачено"</formula>
    </cfRule>
    <cfRule type="expression" dxfId="3" priority="2">
      <formula>H408="Не оплачено"</formula>
    </cfRule>
  </conditionalFormatting>
  <conditionalFormatting sqref="I408">
    <cfRule type="expression" dxfId="4" priority="1">
      <formula>I408="Принято"</formula>
    </cfRule>
    <cfRule type="expression" dxfId="3" priority="2">
      <formula>I408="Отклонено"</formula>
    </cfRule>
    <cfRule type="expression" dxfId="5" priority="3">
      <formula>I408="Отправлено"</formula>
    </cfRule>
  </conditionalFormatting>
  <conditionalFormatting sqref="H409">
    <cfRule type="expression" dxfId="2" priority="1">
      <formula>H409="Оплачено"</formula>
    </cfRule>
    <cfRule type="expression" dxfId="3" priority="2">
      <formula>H409="Не оплачено"</formula>
    </cfRule>
  </conditionalFormatting>
  <conditionalFormatting sqref="I409">
    <cfRule type="expression" dxfId="4" priority="1">
      <formula>I409="Принято"</formula>
    </cfRule>
    <cfRule type="expression" dxfId="3" priority="2">
      <formula>I409="Отклонено"</formula>
    </cfRule>
    <cfRule type="expression" dxfId="5" priority="3">
      <formula>I409="Отправлено"</formula>
    </cfRule>
  </conditionalFormatting>
  <conditionalFormatting sqref="H410">
    <cfRule type="expression" dxfId="2" priority="1">
      <formula>H410="Оплачено"</formula>
    </cfRule>
    <cfRule type="expression" dxfId="3" priority="2">
      <formula>H410="Не оплачено"</formula>
    </cfRule>
  </conditionalFormatting>
  <conditionalFormatting sqref="I410">
    <cfRule type="expression" dxfId="4" priority="1">
      <formula>I410="Принято"</formula>
    </cfRule>
    <cfRule type="expression" dxfId="3" priority="2">
      <formula>I410="Отклонено"</formula>
    </cfRule>
    <cfRule type="expression" dxfId="5" priority="3">
      <formula>I410="Отправлено"</formula>
    </cfRule>
  </conditionalFormatting>
  <conditionalFormatting sqref="H411">
    <cfRule type="expression" dxfId="2" priority="1">
      <formula>H411="Оплачено"</formula>
    </cfRule>
    <cfRule type="expression" dxfId="3" priority="2">
      <formula>H411="Не оплачено"</formula>
    </cfRule>
  </conditionalFormatting>
  <conditionalFormatting sqref="I411">
    <cfRule type="expression" dxfId="4" priority="1">
      <formula>I411="Принято"</formula>
    </cfRule>
    <cfRule type="expression" dxfId="3" priority="2">
      <formula>I411="Отклонено"</formula>
    </cfRule>
    <cfRule type="expression" dxfId="5" priority="3">
      <formula>I411="Отправлено"</formula>
    </cfRule>
  </conditionalFormatting>
  <conditionalFormatting sqref="H412">
    <cfRule type="expression" dxfId="2" priority="1">
      <formula>H412="Оплачено"</formula>
    </cfRule>
    <cfRule type="expression" dxfId="3" priority="2">
      <formula>H412="Не оплачено"</formula>
    </cfRule>
  </conditionalFormatting>
  <conditionalFormatting sqref="I412">
    <cfRule type="expression" dxfId="4" priority="1">
      <formula>I412="Принято"</formula>
    </cfRule>
    <cfRule type="expression" dxfId="3" priority="2">
      <formula>I412="Отклонено"</formula>
    </cfRule>
    <cfRule type="expression" dxfId="5" priority="3">
      <formula>I412="Отправлено"</formula>
    </cfRule>
  </conditionalFormatting>
  <conditionalFormatting sqref="H413">
    <cfRule type="expression" dxfId="2" priority="1">
      <formula>H413="Оплачено"</formula>
    </cfRule>
    <cfRule type="expression" dxfId="3" priority="2">
      <formula>H413="Не оплачено"</formula>
    </cfRule>
  </conditionalFormatting>
  <conditionalFormatting sqref="I413">
    <cfRule type="expression" dxfId="4" priority="1">
      <formula>I413="Принято"</formula>
    </cfRule>
    <cfRule type="expression" dxfId="3" priority="2">
      <formula>I413="Отклонено"</formula>
    </cfRule>
    <cfRule type="expression" dxfId="5" priority="3">
      <formula>I413="Отправлено"</formula>
    </cfRule>
  </conditionalFormatting>
  <conditionalFormatting sqref="H414">
    <cfRule type="expression" dxfId="2" priority="1">
      <formula>H414="Оплачено"</formula>
    </cfRule>
    <cfRule type="expression" dxfId="3" priority="2">
      <formula>H414="Не оплачено"</formula>
    </cfRule>
  </conditionalFormatting>
  <conditionalFormatting sqref="I414">
    <cfRule type="expression" dxfId="4" priority="1">
      <formula>I414="Принято"</formula>
    </cfRule>
    <cfRule type="expression" dxfId="3" priority="2">
      <formula>I414="Отклонено"</formula>
    </cfRule>
    <cfRule type="expression" dxfId="5" priority="3">
      <formula>I414="Отправлено"</formula>
    </cfRule>
  </conditionalFormatting>
  <conditionalFormatting sqref="H415">
    <cfRule type="expression" dxfId="2" priority="1">
      <formula>H415="Оплачено"</formula>
    </cfRule>
    <cfRule type="expression" dxfId="3" priority="2">
      <formula>H415="Не оплачено"</formula>
    </cfRule>
  </conditionalFormatting>
  <conditionalFormatting sqref="I415">
    <cfRule type="expression" dxfId="4" priority="1">
      <formula>I415="Принято"</formula>
    </cfRule>
    <cfRule type="expression" dxfId="3" priority="2">
      <formula>I415="Отклонено"</formula>
    </cfRule>
    <cfRule type="expression" dxfId="5" priority="3">
      <formula>I415="Отправлено"</formula>
    </cfRule>
  </conditionalFormatting>
  <conditionalFormatting sqref="H416">
    <cfRule type="expression" dxfId="2" priority="1">
      <formula>H416="Оплачено"</formula>
    </cfRule>
    <cfRule type="expression" dxfId="3" priority="2">
      <formula>H416="Не оплачено"</formula>
    </cfRule>
  </conditionalFormatting>
  <conditionalFormatting sqref="I416">
    <cfRule type="expression" dxfId="4" priority="1">
      <formula>I416="Принято"</formula>
    </cfRule>
    <cfRule type="expression" dxfId="3" priority="2">
      <formula>I416="Отклонено"</formula>
    </cfRule>
    <cfRule type="expression" dxfId="5" priority="3">
      <formula>I416="Отправлено"</formula>
    </cfRule>
  </conditionalFormatting>
  <conditionalFormatting sqref="H417">
    <cfRule type="expression" dxfId="2" priority="1">
      <formula>H417="Оплачено"</formula>
    </cfRule>
    <cfRule type="expression" dxfId="3" priority="2">
      <formula>H417="Не оплачено"</formula>
    </cfRule>
  </conditionalFormatting>
  <conditionalFormatting sqref="I417">
    <cfRule type="expression" dxfId="4" priority="1">
      <formula>I417="Принято"</formula>
    </cfRule>
    <cfRule type="expression" dxfId="3" priority="2">
      <formula>I417="Отклонено"</formula>
    </cfRule>
    <cfRule type="expression" dxfId="5" priority="3">
      <formula>I417="Отправлено"</formula>
    </cfRule>
  </conditionalFormatting>
  <conditionalFormatting sqref="H418">
    <cfRule type="expression" dxfId="2" priority="1">
      <formula>H418="Оплачено"</formula>
    </cfRule>
    <cfRule type="expression" dxfId="3" priority="2">
      <formula>H418="Не оплачено"</formula>
    </cfRule>
  </conditionalFormatting>
  <conditionalFormatting sqref="I418">
    <cfRule type="expression" dxfId="4" priority="1">
      <formula>I418="Принято"</formula>
    </cfRule>
    <cfRule type="expression" dxfId="3" priority="2">
      <formula>I418="Отклонено"</formula>
    </cfRule>
    <cfRule type="expression" dxfId="5" priority="3">
      <formula>I418="Отправлено"</formula>
    </cfRule>
  </conditionalFormatting>
  <conditionalFormatting sqref="H419">
    <cfRule type="expression" dxfId="2" priority="1">
      <formula>H419="Оплачено"</formula>
    </cfRule>
    <cfRule type="expression" dxfId="3" priority="2">
      <formula>H419="Не оплачено"</formula>
    </cfRule>
  </conditionalFormatting>
  <conditionalFormatting sqref="I419">
    <cfRule type="expression" dxfId="4" priority="1">
      <formula>I419="Принято"</formula>
    </cfRule>
    <cfRule type="expression" dxfId="3" priority="2">
      <formula>I419="Отклонено"</formula>
    </cfRule>
    <cfRule type="expression" dxfId="5" priority="3">
      <formula>I419="Отправлено"</formula>
    </cfRule>
  </conditionalFormatting>
  <conditionalFormatting sqref="H420">
    <cfRule type="expression" dxfId="2" priority="1">
      <formula>H420="Оплачено"</formula>
    </cfRule>
    <cfRule type="expression" dxfId="3" priority="2">
      <formula>H420="Не оплачено"</formula>
    </cfRule>
  </conditionalFormatting>
  <conditionalFormatting sqref="I420">
    <cfRule type="expression" dxfId="4" priority="1">
      <formula>I420="Принято"</formula>
    </cfRule>
    <cfRule type="expression" dxfId="3" priority="2">
      <formula>I420="Отклонено"</formula>
    </cfRule>
    <cfRule type="expression" dxfId="5" priority="3">
      <formula>I420="Отправлено"</formula>
    </cfRule>
  </conditionalFormatting>
  <conditionalFormatting sqref="H421">
    <cfRule type="expression" dxfId="2" priority="1">
      <formula>H421="Оплачено"</formula>
    </cfRule>
    <cfRule type="expression" dxfId="3" priority="2">
      <formula>H421="Не оплачено"</formula>
    </cfRule>
  </conditionalFormatting>
  <conditionalFormatting sqref="I421">
    <cfRule type="expression" dxfId="4" priority="1">
      <formula>I421="Принято"</formula>
    </cfRule>
    <cfRule type="expression" dxfId="3" priority="2">
      <formula>I421="Отклонено"</formula>
    </cfRule>
    <cfRule type="expression" dxfId="5" priority="3">
      <formula>I421="Отправлено"</formula>
    </cfRule>
  </conditionalFormatting>
  <conditionalFormatting sqref="H422">
    <cfRule type="expression" dxfId="2" priority="1">
      <formula>H422="Оплачено"</formula>
    </cfRule>
    <cfRule type="expression" dxfId="3" priority="2">
      <formula>H422="Не оплачено"</formula>
    </cfRule>
  </conditionalFormatting>
  <conditionalFormatting sqref="I422">
    <cfRule type="expression" dxfId="4" priority="1">
      <formula>I422="Принято"</formula>
    </cfRule>
    <cfRule type="expression" dxfId="3" priority="2">
      <formula>I422="Отклонено"</formula>
    </cfRule>
    <cfRule type="expression" dxfId="5" priority="3">
      <formula>I422="Отправлено"</formula>
    </cfRule>
  </conditionalFormatting>
  <conditionalFormatting sqref="H423">
    <cfRule type="expression" dxfId="2" priority="1">
      <formula>H423="Оплачено"</formula>
    </cfRule>
    <cfRule type="expression" dxfId="3" priority="2">
      <formula>H423="Не оплачено"</formula>
    </cfRule>
  </conditionalFormatting>
  <conditionalFormatting sqref="I423">
    <cfRule type="expression" dxfId="4" priority="1">
      <formula>I423="Принято"</formula>
    </cfRule>
    <cfRule type="expression" dxfId="3" priority="2">
      <formula>I423="Отклонено"</formula>
    </cfRule>
    <cfRule type="expression" dxfId="5" priority="3">
      <formula>I423="Отправлено"</formula>
    </cfRule>
  </conditionalFormatting>
  <conditionalFormatting sqref="H424">
    <cfRule type="expression" dxfId="2" priority="1">
      <formula>H424="Оплачено"</formula>
    </cfRule>
    <cfRule type="expression" dxfId="3" priority="2">
      <formula>H424="Не оплачено"</formula>
    </cfRule>
  </conditionalFormatting>
  <conditionalFormatting sqref="I424">
    <cfRule type="expression" dxfId="4" priority="1">
      <formula>I424="Принято"</formula>
    </cfRule>
    <cfRule type="expression" dxfId="3" priority="2">
      <formula>I424="Отклонено"</formula>
    </cfRule>
    <cfRule type="expression" dxfId="5" priority="3">
      <formula>I424="Отправлено"</formula>
    </cfRule>
  </conditionalFormatting>
  <conditionalFormatting sqref="H425">
    <cfRule type="expression" dxfId="2" priority="1">
      <formula>H425="Оплачено"</formula>
    </cfRule>
    <cfRule type="expression" dxfId="3" priority="2">
      <formula>H425="Не оплачено"</formula>
    </cfRule>
  </conditionalFormatting>
  <conditionalFormatting sqref="I425">
    <cfRule type="expression" dxfId="4" priority="1">
      <formula>I425="Принято"</formula>
    </cfRule>
    <cfRule type="expression" dxfId="3" priority="2">
      <formula>I425="Отклонено"</formula>
    </cfRule>
    <cfRule type="expression" dxfId="5" priority="3">
      <formula>I425="Отправлено"</formula>
    </cfRule>
  </conditionalFormatting>
  <conditionalFormatting sqref="H426">
    <cfRule type="expression" dxfId="2" priority="1">
      <formula>H426="Оплачено"</formula>
    </cfRule>
    <cfRule type="expression" dxfId="3" priority="2">
      <formula>H426="Не оплачено"</formula>
    </cfRule>
  </conditionalFormatting>
  <conditionalFormatting sqref="I426">
    <cfRule type="expression" dxfId="4" priority="1">
      <formula>I426="Принято"</formula>
    </cfRule>
    <cfRule type="expression" dxfId="3" priority="2">
      <formula>I426="Отклонено"</formula>
    </cfRule>
    <cfRule type="expression" dxfId="5" priority="3">
      <formula>I426="Отправлено"</formula>
    </cfRule>
  </conditionalFormatting>
  <conditionalFormatting sqref="H427">
    <cfRule type="expression" dxfId="2" priority="1">
      <formula>H427="Оплачено"</formula>
    </cfRule>
    <cfRule type="expression" dxfId="3" priority="2">
      <formula>H427="Не оплачено"</formula>
    </cfRule>
  </conditionalFormatting>
  <conditionalFormatting sqref="I427">
    <cfRule type="expression" dxfId="4" priority="1">
      <formula>I427="Принято"</formula>
    </cfRule>
    <cfRule type="expression" dxfId="3" priority="2">
      <formula>I427="Отклонено"</formula>
    </cfRule>
    <cfRule type="expression" dxfId="5" priority="3">
      <formula>I427="Отправлено"</formula>
    </cfRule>
  </conditionalFormatting>
  <conditionalFormatting sqref="H428">
    <cfRule type="expression" dxfId="2" priority="1">
      <formula>H428="Оплачено"</formula>
    </cfRule>
    <cfRule type="expression" dxfId="3" priority="2">
      <formula>H428="Не оплачено"</formula>
    </cfRule>
  </conditionalFormatting>
  <conditionalFormatting sqref="I428">
    <cfRule type="expression" dxfId="4" priority="1">
      <formula>I428="Принято"</formula>
    </cfRule>
    <cfRule type="expression" dxfId="3" priority="2">
      <formula>I428="Отклонено"</formula>
    </cfRule>
    <cfRule type="expression" dxfId="5" priority="3">
      <formula>I428="Отправлено"</formula>
    </cfRule>
  </conditionalFormatting>
  <conditionalFormatting sqref="H429">
    <cfRule type="expression" dxfId="2" priority="1">
      <formula>H429="Оплачено"</formula>
    </cfRule>
    <cfRule type="expression" dxfId="3" priority="2">
      <formula>H429="Не оплачено"</formula>
    </cfRule>
  </conditionalFormatting>
  <conditionalFormatting sqref="I429">
    <cfRule type="expression" dxfId="4" priority="1">
      <formula>I429="Принято"</formula>
    </cfRule>
    <cfRule type="expression" dxfId="3" priority="2">
      <formula>I429="Отклонено"</formula>
    </cfRule>
    <cfRule type="expression" dxfId="5" priority="3">
      <formula>I429="Отправлено"</formula>
    </cfRule>
  </conditionalFormatting>
  <conditionalFormatting sqref="H430">
    <cfRule type="expression" dxfId="2" priority="1">
      <formula>H430="Оплачено"</formula>
    </cfRule>
    <cfRule type="expression" dxfId="3" priority="2">
      <formula>H430="Не оплачено"</formula>
    </cfRule>
  </conditionalFormatting>
  <conditionalFormatting sqref="I430">
    <cfRule type="expression" dxfId="4" priority="1">
      <formula>I430="Принято"</formula>
    </cfRule>
    <cfRule type="expression" dxfId="3" priority="2">
      <formula>I430="Отклонено"</formula>
    </cfRule>
    <cfRule type="expression" dxfId="5" priority="3">
      <formula>I430="Отправлено"</formula>
    </cfRule>
  </conditionalFormatting>
  <conditionalFormatting sqref="H431">
    <cfRule type="expression" dxfId="2" priority="1">
      <formula>H431="Оплачено"</formula>
    </cfRule>
    <cfRule type="expression" dxfId="3" priority="2">
      <formula>H431="Не оплачено"</formula>
    </cfRule>
  </conditionalFormatting>
  <conditionalFormatting sqref="I431">
    <cfRule type="expression" dxfId="4" priority="1">
      <formula>I431="Принято"</formula>
    </cfRule>
    <cfRule type="expression" dxfId="3" priority="2">
      <formula>I431="Отклонено"</formula>
    </cfRule>
    <cfRule type="expression" dxfId="5" priority="3">
      <formula>I431="Отправлено"</formula>
    </cfRule>
  </conditionalFormatting>
  <conditionalFormatting sqref="H432">
    <cfRule type="expression" dxfId="2" priority="1">
      <formula>H432="Оплачено"</formula>
    </cfRule>
    <cfRule type="expression" dxfId="3" priority="2">
      <formula>H432="Не оплачено"</formula>
    </cfRule>
  </conditionalFormatting>
  <conditionalFormatting sqref="I432">
    <cfRule type="expression" dxfId="4" priority="1">
      <formula>I432="Принято"</formula>
    </cfRule>
    <cfRule type="expression" dxfId="3" priority="2">
      <formula>I432="Отклонено"</formula>
    </cfRule>
    <cfRule type="expression" dxfId="5" priority="3">
      <formula>I432="Отправлено"</formula>
    </cfRule>
  </conditionalFormatting>
  <conditionalFormatting sqref="H433">
    <cfRule type="expression" dxfId="2" priority="1">
      <formula>H433="Оплачено"</formula>
    </cfRule>
    <cfRule type="expression" dxfId="3" priority="2">
      <formula>H433="Не оплачено"</formula>
    </cfRule>
  </conditionalFormatting>
  <conditionalFormatting sqref="I433">
    <cfRule type="expression" dxfId="4" priority="1">
      <formula>I433="Принято"</formula>
    </cfRule>
    <cfRule type="expression" dxfId="3" priority="2">
      <formula>I433="Отклонено"</formula>
    </cfRule>
    <cfRule type="expression" dxfId="5" priority="3">
      <formula>I433="Отправлено"</formula>
    </cfRule>
  </conditionalFormatting>
  <conditionalFormatting sqref="H434">
    <cfRule type="expression" dxfId="2" priority="1">
      <formula>H434="Оплачено"</formula>
    </cfRule>
    <cfRule type="expression" dxfId="3" priority="2">
      <formula>H434="Не оплачено"</formula>
    </cfRule>
  </conditionalFormatting>
  <conditionalFormatting sqref="I434">
    <cfRule type="expression" dxfId="4" priority="1">
      <formula>I434="Принято"</formula>
    </cfRule>
    <cfRule type="expression" dxfId="3" priority="2">
      <formula>I434="Отклонено"</formula>
    </cfRule>
    <cfRule type="expression" dxfId="5" priority="3">
      <formula>I434="Отправлено"</formula>
    </cfRule>
  </conditionalFormatting>
  <conditionalFormatting sqref="H435">
    <cfRule type="expression" dxfId="2" priority="1">
      <formula>H435="Оплачено"</formula>
    </cfRule>
    <cfRule type="expression" dxfId="3" priority="2">
      <formula>H435="Не оплачено"</formula>
    </cfRule>
  </conditionalFormatting>
  <conditionalFormatting sqref="I435">
    <cfRule type="expression" dxfId="4" priority="1">
      <formula>I435="Принято"</formula>
    </cfRule>
    <cfRule type="expression" dxfId="3" priority="2">
      <formula>I435="Отклонено"</formula>
    </cfRule>
    <cfRule type="expression" dxfId="5" priority="3">
      <formula>I435="Отправлено"</formula>
    </cfRule>
  </conditionalFormatting>
  <conditionalFormatting sqref="H436">
    <cfRule type="expression" dxfId="2" priority="1">
      <formula>H436="Оплачено"</formula>
    </cfRule>
    <cfRule type="expression" dxfId="3" priority="2">
      <formula>H436="Не оплачено"</formula>
    </cfRule>
  </conditionalFormatting>
  <conditionalFormatting sqref="I436">
    <cfRule type="expression" dxfId="4" priority="1">
      <formula>I436="Принято"</formula>
    </cfRule>
    <cfRule type="expression" dxfId="3" priority="2">
      <formula>I436="Отклонено"</formula>
    </cfRule>
    <cfRule type="expression" dxfId="5" priority="3">
      <formula>I436="Отправлено"</formula>
    </cfRule>
  </conditionalFormatting>
  <conditionalFormatting sqref="H437">
    <cfRule type="expression" dxfId="2" priority="1">
      <formula>H437="Оплачено"</formula>
    </cfRule>
    <cfRule type="expression" dxfId="3" priority="2">
      <formula>H437="Не оплачено"</formula>
    </cfRule>
  </conditionalFormatting>
  <conditionalFormatting sqref="I437">
    <cfRule type="expression" dxfId="4" priority="1">
      <formula>I437="Принято"</formula>
    </cfRule>
    <cfRule type="expression" dxfId="3" priority="2">
      <formula>I437="Отклонено"</formula>
    </cfRule>
    <cfRule type="expression" dxfId="5" priority="3">
      <formula>I437="Отправлено"</formula>
    </cfRule>
  </conditionalFormatting>
  <conditionalFormatting sqref="H438">
    <cfRule type="expression" dxfId="2" priority="1">
      <formula>H438="Оплачено"</formula>
    </cfRule>
    <cfRule type="expression" dxfId="3" priority="2">
      <formula>H438="Не оплачено"</formula>
    </cfRule>
  </conditionalFormatting>
  <conditionalFormatting sqref="I438">
    <cfRule type="expression" dxfId="4" priority="1">
      <formula>I438="Принято"</formula>
    </cfRule>
    <cfRule type="expression" dxfId="3" priority="2">
      <formula>I438="Отклонено"</formula>
    </cfRule>
    <cfRule type="expression" dxfId="5" priority="3">
      <formula>I438="Отправлено"</formula>
    </cfRule>
  </conditionalFormatting>
  <conditionalFormatting sqref="H439">
    <cfRule type="expression" dxfId="2" priority="1">
      <formula>H439="Оплачено"</formula>
    </cfRule>
    <cfRule type="expression" dxfId="3" priority="2">
      <formula>H439="Не оплачено"</formula>
    </cfRule>
  </conditionalFormatting>
  <conditionalFormatting sqref="I439">
    <cfRule type="expression" dxfId="4" priority="1">
      <formula>I439="Принято"</formula>
    </cfRule>
    <cfRule type="expression" dxfId="3" priority="2">
      <formula>I439="Отклонено"</formula>
    </cfRule>
    <cfRule type="expression" dxfId="5" priority="3">
      <formula>I439="Отправлено"</formula>
    </cfRule>
  </conditionalFormatting>
  <conditionalFormatting sqref="H440">
    <cfRule type="expression" dxfId="2" priority="1">
      <formula>H440="Оплачено"</formula>
    </cfRule>
    <cfRule type="expression" dxfId="3" priority="2">
      <formula>H440="Не оплачено"</formula>
    </cfRule>
  </conditionalFormatting>
  <conditionalFormatting sqref="I440">
    <cfRule type="expression" dxfId="4" priority="1">
      <formula>I440="Принято"</formula>
    </cfRule>
    <cfRule type="expression" dxfId="3" priority="2">
      <formula>I440="Отклонено"</formula>
    </cfRule>
    <cfRule type="expression" dxfId="5" priority="3">
      <formula>I440="Отправлено"</formula>
    </cfRule>
  </conditionalFormatting>
  <conditionalFormatting sqref="H441">
    <cfRule type="expression" dxfId="2" priority="1">
      <formula>H441="Оплачено"</formula>
    </cfRule>
    <cfRule type="expression" dxfId="3" priority="2">
      <formula>H441="Не оплачено"</formula>
    </cfRule>
  </conditionalFormatting>
  <conditionalFormatting sqref="I441">
    <cfRule type="expression" dxfId="4" priority="1">
      <formula>I441="Принято"</formula>
    </cfRule>
    <cfRule type="expression" dxfId="3" priority="2">
      <formula>I441="Отклонено"</formula>
    </cfRule>
    <cfRule type="expression" dxfId="5" priority="3">
      <formula>I441="Отправлено"</formula>
    </cfRule>
  </conditionalFormatting>
  <conditionalFormatting sqref="H442">
    <cfRule type="expression" dxfId="2" priority="1">
      <formula>H442="Оплачено"</formula>
    </cfRule>
    <cfRule type="expression" dxfId="3" priority="2">
      <formula>H442="Не оплачено"</formula>
    </cfRule>
  </conditionalFormatting>
  <conditionalFormatting sqref="I442">
    <cfRule type="expression" dxfId="4" priority="1">
      <formula>I442="Принято"</formula>
    </cfRule>
    <cfRule type="expression" dxfId="3" priority="2">
      <formula>I442="Отклонено"</formula>
    </cfRule>
    <cfRule type="expression" dxfId="5" priority="3">
      <formula>I442="Отправлено"</formula>
    </cfRule>
  </conditionalFormatting>
  <conditionalFormatting sqref="H443">
    <cfRule type="expression" dxfId="2" priority="1">
      <formula>H443="Оплачено"</formula>
    </cfRule>
    <cfRule type="expression" dxfId="3" priority="2">
      <formula>H443="Не оплачено"</formula>
    </cfRule>
  </conditionalFormatting>
  <conditionalFormatting sqref="I443">
    <cfRule type="expression" dxfId="4" priority="1">
      <formula>I443="Принято"</formula>
    </cfRule>
    <cfRule type="expression" dxfId="3" priority="2">
      <formula>I443="Отклонено"</formula>
    </cfRule>
    <cfRule type="expression" dxfId="5" priority="3">
      <formula>I443="Отправлено"</formula>
    </cfRule>
  </conditionalFormatting>
  <conditionalFormatting sqref="H444">
    <cfRule type="expression" dxfId="2" priority="1">
      <formula>H444="Оплачено"</formula>
    </cfRule>
    <cfRule type="expression" dxfId="3" priority="2">
      <formula>H444="Не оплачено"</formula>
    </cfRule>
  </conditionalFormatting>
  <conditionalFormatting sqref="I444">
    <cfRule type="expression" dxfId="4" priority="1">
      <formula>I444="Принято"</formula>
    </cfRule>
    <cfRule type="expression" dxfId="3" priority="2">
      <formula>I444="Отклонено"</formula>
    </cfRule>
    <cfRule type="expression" dxfId="5" priority="3">
      <formula>I444="Отправлено"</formula>
    </cfRule>
  </conditionalFormatting>
  <conditionalFormatting sqref="H445">
    <cfRule type="expression" dxfId="2" priority="1">
      <formula>H445="Оплачено"</formula>
    </cfRule>
    <cfRule type="expression" dxfId="3" priority="2">
      <formula>H445="Не оплачено"</formula>
    </cfRule>
  </conditionalFormatting>
  <conditionalFormatting sqref="I445">
    <cfRule type="expression" dxfId="4" priority="1">
      <formula>I445="Принято"</formula>
    </cfRule>
    <cfRule type="expression" dxfId="3" priority="2">
      <formula>I445="Отклонено"</formula>
    </cfRule>
    <cfRule type="expression" dxfId="5" priority="3">
      <formula>I445="Отправлено"</formula>
    </cfRule>
  </conditionalFormatting>
  <conditionalFormatting sqref="H446">
    <cfRule type="expression" dxfId="2" priority="1">
      <formula>H446="Оплачено"</formula>
    </cfRule>
    <cfRule type="expression" dxfId="3" priority="2">
      <formula>H446="Не оплачено"</formula>
    </cfRule>
  </conditionalFormatting>
  <conditionalFormatting sqref="I446">
    <cfRule type="expression" dxfId="4" priority="1">
      <formula>I446="Принято"</formula>
    </cfRule>
    <cfRule type="expression" dxfId="3" priority="2">
      <formula>I446="Отклонено"</formula>
    </cfRule>
    <cfRule type="expression" dxfId="5" priority="3">
      <formula>I446="Отправлено"</formula>
    </cfRule>
  </conditionalFormatting>
  <conditionalFormatting sqref="H447">
    <cfRule type="expression" dxfId="2" priority="1">
      <formula>H447="Оплачено"</formula>
    </cfRule>
    <cfRule type="expression" dxfId="3" priority="2">
      <formula>H447="Не оплачено"</formula>
    </cfRule>
  </conditionalFormatting>
  <conditionalFormatting sqref="I447">
    <cfRule type="expression" dxfId="4" priority="1">
      <formula>I447="Принято"</formula>
    </cfRule>
    <cfRule type="expression" dxfId="3" priority="2">
      <formula>I447="Отклонено"</formula>
    </cfRule>
    <cfRule type="expression" dxfId="5" priority="3">
      <formula>I447="Отправлено"</formula>
    </cfRule>
  </conditionalFormatting>
  <conditionalFormatting sqref="H448">
    <cfRule type="expression" dxfId="2" priority="1">
      <formula>H448="Оплачено"</formula>
    </cfRule>
    <cfRule type="expression" dxfId="3" priority="2">
      <formula>H448="Не оплачено"</formula>
    </cfRule>
  </conditionalFormatting>
  <conditionalFormatting sqref="I448">
    <cfRule type="expression" dxfId="4" priority="1">
      <formula>I448="Принято"</formula>
    </cfRule>
    <cfRule type="expression" dxfId="3" priority="2">
      <formula>I448="Отклонено"</formula>
    </cfRule>
    <cfRule type="expression" dxfId="5" priority="3">
      <formula>I448="Отправлено"</formula>
    </cfRule>
  </conditionalFormatting>
  <conditionalFormatting sqref="H449">
    <cfRule type="expression" dxfId="2" priority="1">
      <formula>H449="Оплачено"</formula>
    </cfRule>
    <cfRule type="expression" dxfId="3" priority="2">
      <formula>H449="Не оплачено"</formula>
    </cfRule>
  </conditionalFormatting>
  <conditionalFormatting sqref="I449">
    <cfRule type="expression" dxfId="4" priority="1">
      <formula>I449="Принято"</formula>
    </cfRule>
    <cfRule type="expression" dxfId="3" priority="2">
      <formula>I449="Отклонено"</formula>
    </cfRule>
    <cfRule type="expression" dxfId="5" priority="3">
      <formula>I449="Отправлено"</formula>
    </cfRule>
  </conditionalFormatting>
  <conditionalFormatting sqref="H450">
    <cfRule type="expression" dxfId="2" priority="1">
      <formula>H450="Оплачено"</formula>
    </cfRule>
    <cfRule type="expression" dxfId="3" priority="2">
      <formula>H450="Не оплачено"</formula>
    </cfRule>
  </conditionalFormatting>
  <conditionalFormatting sqref="I450">
    <cfRule type="expression" dxfId="4" priority="1">
      <formula>I450="Принято"</formula>
    </cfRule>
    <cfRule type="expression" dxfId="3" priority="2">
      <formula>I450="Отклонено"</formula>
    </cfRule>
    <cfRule type="expression" dxfId="5" priority="3">
      <formula>I450="Отправлено"</formula>
    </cfRule>
  </conditionalFormatting>
  <conditionalFormatting sqref="H451">
    <cfRule type="expression" dxfId="2" priority="1">
      <formula>H451="Оплачено"</formula>
    </cfRule>
    <cfRule type="expression" dxfId="3" priority="2">
      <formula>H451="Не оплачено"</formula>
    </cfRule>
  </conditionalFormatting>
  <conditionalFormatting sqref="I451">
    <cfRule type="expression" dxfId="4" priority="1">
      <formula>I451="Принято"</formula>
    </cfRule>
    <cfRule type="expression" dxfId="3" priority="2">
      <formula>I451="Отклонено"</formula>
    </cfRule>
    <cfRule type="expression" dxfId="5" priority="3">
      <formula>I451="Отправлено"</formula>
    </cfRule>
  </conditionalFormatting>
  <conditionalFormatting sqref="H452">
    <cfRule type="expression" dxfId="2" priority="1">
      <formula>H452="Оплачено"</formula>
    </cfRule>
    <cfRule type="expression" dxfId="3" priority="2">
      <formula>H452="Не оплачено"</formula>
    </cfRule>
  </conditionalFormatting>
  <conditionalFormatting sqref="I452">
    <cfRule type="expression" dxfId="4" priority="1">
      <formula>I452="Принято"</formula>
    </cfRule>
    <cfRule type="expression" dxfId="3" priority="2">
      <formula>I452="Отклонено"</formula>
    </cfRule>
    <cfRule type="expression" dxfId="5" priority="3">
      <formula>I452="Отправлено"</formula>
    </cfRule>
  </conditionalFormatting>
  <conditionalFormatting sqref="H453">
    <cfRule type="expression" dxfId="2" priority="1">
      <formula>H453="Оплачено"</formula>
    </cfRule>
    <cfRule type="expression" dxfId="3" priority="2">
      <formula>H453="Не оплачено"</formula>
    </cfRule>
  </conditionalFormatting>
  <conditionalFormatting sqref="I453">
    <cfRule type="expression" dxfId="4" priority="1">
      <formula>I453="Принято"</formula>
    </cfRule>
    <cfRule type="expression" dxfId="3" priority="2">
      <formula>I453="Отклонено"</formula>
    </cfRule>
    <cfRule type="expression" dxfId="5" priority="3">
      <formula>I453="Отправлено"</formula>
    </cfRule>
  </conditionalFormatting>
  <conditionalFormatting sqref="H454">
    <cfRule type="expression" dxfId="2" priority="1">
      <formula>H454="Оплачено"</formula>
    </cfRule>
    <cfRule type="expression" dxfId="3" priority="2">
      <formula>H454="Не оплачено"</formula>
    </cfRule>
  </conditionalFormatting>
  <conditionalFormatting sqref="I454">
    <cfRule type="expression" dxfId="4" priority="1">
      <formula>I454="Принято"</formula>
    </cfRule>
    <cfRule type="expression" dxfId="3" priority="2">
      <formula>I454="Отклонено"</formula>
    </cfRule>
    <cfRule type="expression" dxfId="5" priority="3">
      <formula>I454="Отправлено"</formula>
    </cfRule>
  </conditionalFormatting>
  <conditionalFormatting sqref="H455">
    <cfRule type="expression" dxfId="2" priority="1">
      <formula>H455="Оплачено"</formula>
    </cfRule>
    <cfRule type="expression" dxfId="3" priority="2">
      <formula>H455="Не оплачено"</formula>
    </cfRule>
  </conditionalFormatting>
  <conditionalFormatting sqref="I455">
    <cfRule type="expression" dxfId="4" priority="1">
      <formula>I455="Принято"</formula>
    </cfRule>
    <cfRule type="expression" dxfId="3" priority="2">
      <formula>I455="Отклонено"</formula>
    </cfRule>
    <cfRule type="expression" dxfId="5" priority="3">
      <formula>I455="Отправлено"</formula>
    </cfRule>
  </conditionalFormatting>
  <conditionalFormatting sqref="H456">
    <cfRule type="expression" dxfId="2" priority="1">
      <formula>H456="Оплачено"</formula>
    </cfRule>
    <cfRule type="expression" dxfId="3" priority="2">
      <formula>H456="Не оплачено"</formula>
    </cfRule>
  </conditionalFormatting>
  <conditionalFormatting sqref="I456">
    <cfRule type="expression" dxfId="4" priority="1">
      <formula>I456="Принято"</formula>
    </cfRule>
    <cfRule type="expression" dxfId="3" priority="2">
      <formula>I456="Отклонено"</formula>
    </cfRule>
    <cfRule type="expression" dxfId="5" priority="3">
      <formula>I456="Отправлено"</formula>
    </cfRule>
  </conditionalFormatting>
  <conditionalFormatting sqref="H457">
    <cfRule type="expression" dxfId="2" priority="1">
      <formula>H457="Оплачено"</formula>
    </cfRule>
    <cfRule type="expression" dxfId="3" priority="2">
      <formula>H457="Не оплачено"</formula>
    </cfRule>
  </conditionalFormatting>
  <conditionalFormatting sqref="I457">
    <cfRule type="expression" dxfId="4" priority="1">
      <formula>I457="Принято"</formula>
    </cfRule>
    <cfRule type="expression" dxfId="3" priority="2">
      <formula>I457="Отклонено"</formula>
    </cfRule>
    <cfRule type="expression" dxfId="5" priority="3">
      <formula>I457="Отправлено"</formula>
    </cfRule>
  </conditionalFormatting>
  <conditionalFormatting sqref="H458">
    <cfRule type="expression" dxfId="2" priority="1">
      <formula>H458="Оплачено"</formula>
    </cfRule>
    <cfRule type="expression" dxfId="3" priority="2">
      <formula>H458="Не оплачено"</formula>
    </cfRule>
  </conditionalFormatting>
  <conditionalFormatting sqref="I458">
    <cfRule type="expression" dxfId="4" priority="1">
      <formula>I458="Принято"</formula>
    </cfRule>
    <cfRule type="expression" dxfId="3" priority="2">
      <formula>I458="Отклонено"</formula>
    </cfRule>
    <cfRule type="expression" dxfId="5" priority="3">
      <formula>I458="Отправлено"</formula>
    </cfRule>
  </conditionalFormatting>
  <conditionalFormatting sqref="H459">
    <cfRule type="expression" dxfId="2" priority="1">
      <formula>H459="Оплачено"</formula>
    </cfRule>
    <cfRule type="expression" dxfId="3" priority="2">
      <formula>H459="Не оплачено"</formula>
    </cfRule>
  </conditionalFormatting>
  <conditionalFormatting sqref="I459">
    <cfRule type="expression" dxfId="4" priority="1">
      <formula>I459="Принято"</formula>
    </cfRule>
    <cfRule type="expression" dxfId="3" priority="2">
      <formula>I459="Отклонено"</formula>
    </cfRule>
    <cfRule type="expression" dxfId="5" priority="3">
      <formula>I459="Отправлено"</formula>
    </cfRule>
  </conditionalFormatting>
  <conditionalFormatting sqref="H460">
    <cfRule type="expression" dxfId="2" priority="1">
      <formula>H460="Оплачено"</formula>
    </cfRule>
    <cfRule type="expression" dxfId="3" priority="2">
      <formula>H460="Не оплачено"</formula>
    </cfRule>
  </conditionalFormatting>
  <conditionalFormatting sqref="I460">
    <cfRule type="expression" dxfId="4" priority="1">
      <formula>I460="Принято"</formula>
    </cfRule>
    <cfRule type="expression" dxfId="3" priority="2">
      <formula>I460="Отклонено"</formula>
    </cfRule>
    <cfRule type="expression" dxfId="5" priority="3">
      <formula>I460="Отправлено"</formula>
    </cfRule>
  </conditionalFormatting>
  <conditionalFormatting sqref="H461">
    <cfRule type="expression" dxfId="2" priority="1">
      <formula>H461="Оплачено"</formula>
    </cfRule>
    <cfRule type="expression" dxfId="3" priority="2">
      <formula>H461="Не оплачено"</formula>
    </cfRule>
  </conditionalFormatting>
  <conditionalFormatting sqref="I461">
    <cfRule type="expression" dxfId="4" priority="1">
      <formula>I461="Принято"</formula>
    </cfRule>
    <cfRule type="expression" dxfId="3" priority="2">
      <formula>I461="Отклонено"</formula>
    </cfRule>
    <cfRule type="expression" dxfId="5" priority="3">
      <formula>I461="Отправлено"</formula>
    </cfRule>
  </conditionalFormatting>
  <conditionalFormatting sqref="H462">
    <cfRule type="expression" dxfId="2" priority="1">
      <formula>H462="Оплачено"</formula>
    </cfRule>
    <cfRule type="expression" dxfId="3" priority="2">
      <formula>H462="Не оплачено"</formula>
    </cfRule>
  </conditionalFormatting>
  <conditionalFormatting sqref="I462">
    <cfRule type="expression" dxfId="4" priority="1">
      <formula>I462="Принято"</formula>
    </cfRule>
    <cfRule type="expression" dxfId="3" priority="2">
      <formula>I462="Отклонено"</formula>
    </cfRule>
    <cfRule type="expression" dxfId="5" priority="3">
      <formula>I462="Отправлено"</formula>
    </cfRule>
  </conditionalFormatting>
  <conditionalFormatting sqref="H463">
    <cfRule type="expression" dxfId="2" priority="1">
      <formula>H463="Оплачено"</formula>
    </cfRule>
    <cfRule type="expression" dxfId="3" priority="2">
      <formula>H463="Не оплачено"</formula>
    </cfRule>
  </conditionalFormatting>
  <conditionalFormatting sqref="I463">
    <cfRule type="expression" dxfId="4" priority="1">
      <formula>I463="Принято"</formula>
    </cfRule>
    <cfRule type="expression" dxfId="3" priority="2">
      <formula>I463="Отклонено"</formula>
    </cfRule>
    <cfRule type="expression" dxfId="5" priority="3">
      <formula>I463="Отправлено"</formula>
    </cfRule>
  </conditionalFormatting>
  <conditionalFormatting sqref="H464">
    <cfRule type="expression" dxfId="2" priority="1">
      <formula>H464="Оплачено"</formula>
    </cfRule>
    <cfRule type="expression" dxfId="3" priority="2">
      <formula>H464="Не оплачено"</formula>
    </cfRule>
  </conditionalFormatting>
  <conditionalFormatting sqref="I464">
    <cfRule type="expression" dxfId="4" priority="1">
      <formula>I464="Принято"</formula>
    </cfRule>
    <cfRule type="expression" dxfId="3" priority="2">
      <formula>I464="Отклонено"</formula>
    </cfRule>
    <cfRule type="expression" dxfId="5" priority="3">
      <formula>I464="Отправлено"</formula>
    </cfRule>
  </conditionalFormatting>
  <conditionalFormatting sqref="H465">
    <cfRule type="expression" dxfId="2" priority="1">
      <formula>H465="Оплачено"</formula>
    </cfRule>
    <cfRule type="expression" dxfId="3" priority="2">
      <formula>H465="Не оплачено"</formula>
    </cfRule>
  </conditionalFormatting>
  <conditionalFormatting sqref="I465">
    <cfRule type="expression" dxfId="4" priority="1">
      <formula>I465="Принято"</formula>
    </cfRule>
    <cfRule type="expression" dxfId="3" priority="2">
      <formula>I465="Отклонено"</formula>
    </cfRule>
    <cfRule type="expression" dxfId="5" priority="3">
      <formula>I465="Отправлено"</formula>
    </cfRule>
  </conditionalFormatting>
  <conditionalFormatting sqref="H466">
    <cfRule type="expression" dxfId="2" priority="1">
      <formula>H466="Оплачено"</formula>
    </cfRule>
    <cfRule type="expression" dxfId="3" priority="2">
      <formula>H466="Не оплачено"</formula>
    </cfRule>
  </conditionalFormatting>
  <conditionalFormatting sqref="I466">
    <cfRule type="expression" dxfId="4" priority="1">
      <formula>I466="Принято"</formula>
    </cfRule>
    <cfRule type="expression" dxfId="3" priority="2">
      <formula>I466="Отклонено"</formula>
    </cfRule>
    <cfRule type="expression" dxfId="5" priority="3">
      <formula>I466="Отправлено"</formula>
    </cfRule>
  </conditionalFormatting>
  <conditionalFormatting sqref="H467">
    <cfRule type="expression" dxfId="2" priority="1">
      <formula>H467="Оплачено"</formula>
    </cfRule>
    <cfRule type="expression" dxfId="3" priority="2">
      <formula>H467="Не оплачено"</formula>
    </cfRule>
  </conditionalFormatting>
  <conditionalFormatting sqref="I467">
    <cfRule type="expression" dxfId="4" priority="1">
      <formula>I467="Принято"</formula>
    </cfRule>
    <cfRule type="expression" dxfId="3" priority="2">
      <formula>I467="Отклонено"</formula>
    </cfRule>
    <cfRule type="expression" dxfId="5" priority="3">
      <formula>I467="Отправлено"</formula>
    </cfRule>
  </conditionalFormatting>
  <conditionalFormatting sqref="H468">
    <cfRule type="expression" dxfId="2" priority="1">
      <formula>H468="Оплачено"</formula>
    </cfRule>
    <cfRule type="expression" dxfId="3" priority="2">
      <formula>H468="Не оплачено"</formula>
    </cfRule>
  </conditionalFormatting>
  <conditionalFormatting sqref="I468">
    <cfRule type="expression" dxfId="4" priority="1">
      <formula>I468="Принято"</formula>
    </cfRule>
    <cfRule type="expression" dxfId="3" priority="2">
      <formula>I468="Отклонено"</formula>
    </cfRule>
    <cfRule type="expression" dxfId="5" priority="3">
      <formula>I468="Отправлено"</formula>
    </cfRule>
  </conditionalFormatting>
  <conditionalFormatting sqref="H469">
    <cfRule type="expression" dxfId="2" priority="1">
      <formula>H469="Оплачено"</formula>
    </cfRule>
    <cfRule type="expression" dxfId="3" priority="2">
      <formula>H469="Не оплачено"</formula>
    </cfRule>
  </conditionalFormatting>
  <conditionalFormatting sqref="I469">
    <cfRule type="expression" dxfId="4" priority="1">
      <formula>I469="Принято"</formula>
    </cfRule>
    <cfRule type="expression" dxfId="3" priority="2">
      <formula>I469="Отклонено"</formula>
    </cfRule>
    <cfRule type="expression" dxfId="5" priority="3">
      <formula>I469="Отправлено"</formula>
    </cfRule>
  </conditionalFormatting>
  <conditionalFormatting sqref="H470">
    <cfRule type="expression" dxfId="2" priority="1">
      <formula>H470="Оплачено"</formula>
    </cfRule>
    <cfRule type="expression" dxfId="3" priority="2">
      <formula>H470="Не оплачено"</formula>
    </cfRule>
  </conditionalFormatting>
  <conditionalFormatting sqref="I470">
    <cfRule type="expression" dxfId="4" priority="1">
      <formula>I470="Принято"</formula>
    </cfRule>
    <cfRule type="expression" dxfId="3" priority="2">
      <formula>I470="Отклонено"</formula>
    </cfRule>
    <cfRule type="expression" dxfId="5" priority="3">
      <formula>I470="Отправлено"</formula>
    </cfRule>
  </conditionalFormatting>
  <conditionalFormatting sqref="H471">
    <cfRule type="expression" dxfId="2" priority="1">
      <formula>H471="Оплачено"</formula>
    </cfRule>
    <cfRule type="expression" dxfId="3" priority="2">
      <formula>H471="Не оплачено"</formula>
    </cfRule>
  </conditionalFormatting>
  <conditionalFormatting sqref="I471">
    <cfRule type="expression" dxfId="4" priority="1">
      <formula>I471="Принято"</formula>
    </cfRule>
    <cfRule type="expression" dxfId="3" priority="2">
      <formula>I471="Отклонено"</formula>
    </cfRule>
    <cfRule type="expression" dxfId="5" priority="3">
      <formula>I471="Отправлено"</formula>
    </cfRule>
  </conditionalFormatting>
  <conditionalFormatting sqref="H472">
    <cfRule type="expression" dxfId="2" priority="1">
      <formula>H472="Оплачено"</formula>
    </cfRule>
    <cfRule type="expression" dxfId="3" priority="2">
      <formula>H472="Не оплачено"</formula>
    </cfRule>
  </conditionalFormatting>
  <conditionalFormatting sqref="I472">
    <cfRule type="expression" dxfId="4" priority="1">
      <formula>I472="Принято"</formula>
    </cfRule>
    <cfRule type="expression" dxfId="3" priority="2">
      <formula>I472="Отклонено"</formula>
    </cfRule>
    <cfRule type="expression" dxfId="5" priority="3">
      <formula>I472="Отправлено"</formula>
    </cfRule>
  </conditionalFormatting>
  <conditionalFormatting sqref="H473">
    <cfRule type="expression" dxfId="2" priority="1">
      <formula>H473="Оплачено"</formula>
    </cfRule>
    <cfRule type="expression" dxfId="3" priority="2">
      <formula>H473="Не оплачено"</formula>
    </cfRule>
  </conditionalFormatting>
  <conditionalFormatting sqref="I473">
    <cfRule type="expression" dxfId="4" priority="1">
      <formula>I473="Принято"</formula>
    </cfRule>
    <cfRule type="expression" dxfId="3" priority="2">
      <formula>I473="Отклонено"</formula>
    </cfRule>
    <cfRule type="expression" dxfId="5" priority="3">
      <formula>I473="Отправлено"</formula>
    </cfRule>
  </conditionalFormatting>
  <conditionalFormatting sqref="H474">
    <cfRule type="expression" dxfId="2" priority="1">
      <formula>H474="Оплачено"</formula>
    </cfRule>
    <cfRule type="expression" dxfId="3" priority="2">
      <formula>H474="Не оплачено"</formula>
    </cfRule>
  </conditionalFormatting>
  <conditionalFormatting sqref="I474">
    <cfRule type="expression" dxfId="4" priority="1">
      <formula>I474="Принято"</formula>
    </cfRule>
    <cfRule type="expression" dxfId="3" priority="2">
      <formula>I474="Отклонено"</formula>
    </cfRule>
    <cfRule type="expression" dxfId="5" priority="3">
      <formula>I474="Отправлено"</formula>
    </cfRule>
  </conditionalFormatting>
  <conditionalFormatting sqref="H475">
    <cfRule type="expression" dxfId="2" priority="1">
      <formula>H475="Оплачено"</formula>
    </cfRule>
    <cfRule type="expression" dxfId="3" priority="2">
      <formula>H475="Не оплачено"</formula>
    </cfRule>
  </conditionalFormatting>
  <conditionalFormatting sqref="I475">
    <cfRule type="expression" dxfId="4" priority="1">
      <formula>I475="Принято"</formula>
    </cfRule>
    <cfRule type="expression" dxfId="3" priority="2">
      <formula>I475="Отклонено"</formula>
    </cfRule>
    <cfRule type="expression" dxfId="5" priority="3">
      <formula>I475="Отправлено"</formula>
    </cfRule>
  </conditionalFormatting>
  <conditionalFormatting sqref="H476">
    <cfRule type="expression" dxfId="2" priority="1">
      <formula>H476="Оплачено"</formula>
    </cfRule>
    <cfRule type="expression" dxfId="3" priority="2">
      <formula>H476="Не оплачено"</formula>
    </cfRule>
  </conditionalFormatting>
  <conditionalFormatting sqref="I476">
    <cfRule type="expression" dxfId="4" priority="1">
      <formula>I476="Принято"</formula>
    </cfRule>
    <cfRule type="expression" dxfId="3" priority="2">
      <formula>I476="Отклонено"</formula>
    </cfRule>
    <cfRule type="expression" dxfId="5" priority="3">
      <formula>I476="Отправлено"</formula>
    </cfRule>
  </conditionalFormatting>
  <conditionalFormatting sqref="H477">
    <cfRule type="expression" dxfId="2" priority="1">
      <formula>H477="Оплачено"</formula>
    </cfRule>
    <cfRule type="expression" dxfId="3" priority="2">
      <formula>H477="Не оплачено"</formula>
    </cfRule>
  </conditionalFormatting>
  <conditionalFormatting sqref="I477">
    <cfRule type="expression" dxfId="4" priority="1">
      <formula>I477="Принято"</formula>
    </cfRule>
    <cfRule type="expression" dxfId="3" priority="2">
      <formula>I477="Отклонено"</formula>
    </cfRule>
    <cfRule type="expression" dxfId="5" priority="3">
      <formula>I477="Отправлено"</formula>
    </cfRule>
  </conditionalFormatting>
  <conditionalFormatting sqref="H478">
    <cfRule type="expression" dxfId="2" priority="1">
      <formula>H478="Оплачено"</formula>
    </cfRule>
    <cfRule type="expression" dxfId="3" priority="2">
      <formula>H478="Не оплачено"</formula>
    </cfRule>
  </conditionalFormatting>
  <conditionalFormatting sqref="I478">
    <cfRule type="expression" dxfId="4" priority="1">
      <formula>I478="Принято"</formula>
    </cfRule>
    <cfRule type="expression" dxfId="3" priority="2">
      <formula>I478="Отклонено"</formula>
    </cfRule>
    <cfRule type="expression" dxfId="5" priority="3">
      <formula>I478="Отправлено"</formula>
    </cfRule>
  </conditionalFormatting>
  <conditionalFormatting sqref="H479">
    <cfRule type="expression" dxfId="2" priority="1">
      <formula>H479="Оплачено"</formula>
    </cfRule>
    <cfRule type="expression" dxfId="3" priority="2">
      <formula>H479="Не оплачено"</formula>
    </cfRule>
  </conditionalFormatting>
  <conditionalFormatting sqref="I479">
    <cfRule type="expression" dxfId="4" priority="1">
      <formula>I479="Принято"</formula>
    </cfRule>
    <cfRule type="expression" dxfId="3" priority="2">
      <formula>I479="Отклонено"</formula>
    </cfRule>
    <cfRule type="expression" dxfId="5" priority="3">
      <formula>I479="Отправлено"</formula>
    </cfRule>
  </conditionalFormatting>
  <conditionalFormatting sqref="H480">
    <cfRule type="expression" dxfId="2" priority="1">
      <formula>H480="Оплачено"</formula>
    </cfRule>
    <cfRule type="expression" dxfId="3" priority="2">
      <formula>H480="Не оплачено"</formula>
    </cfRule>
  </conditionalFormatting>
  <conditionalFormatting sqref="I480">
    <cfRule type="expression" dxfId="4" priority="1">
      <formula>I480="Принято"</formula>
    </cfRule>
    <cfRule type="expression" dxfId="3" priority="2">
      <formula>I480="Отклонено"</formula>
    </cfRule>
    <cfRule type="expression" dxfId="5" priority="3">
      <formula>I480="Отправлено"</formula>
    </cfRule>
  </conditionalFormatting>
  <conditionalFormatting sqref="H481">
    <cfRule type="expression" dxfId="2" priority="1">
      <formula>H481="Оплачено"</formula>
    </cfRule>
    <cfRule type="expression" dxfId="3" priority="2">
      <formula>H481="Не оплачено"</formula>
    </cfRule>
  </conditionalFormatting>
  <conditionalFormatting sqref="I481">
    <cfRule type="expression" dxfId="4" priority="1">
      <formula>I481="Принято"</formula>
    </cfRule>
    <cfRule type="expression" dxfId="3" priority="2">
      <formula>I481="Отклонено"</formula>
    </cfRule>
    <cfRule type="expression" dxfId="5" priority="3">
      <formula>I481="Отправлено"</formula>
    </cfRule>
  </conditionalFormatting>
  <conditionalFormatting sqref="H482">
    <cfRule type="expression" dxfId="2" priority="1">
      <formula>H482="Оплачено"</formula>
    </cfRule>
    <cfRule type="expression" dxfId="3" priority="2">
      <formula>H482="Не оплачено"</formula>
    </cfRule>
  </conditionalFormatting>
  <conditionalFormatting sqref="I482">
    <cfRule type="expression" dxfId="4" priority="1">
      <formula>I482="Принято"</formula>
    </cfRule>
    <cfRule type="expression" dxfId="3" priority="2">
      <formula>I482="Отклонено"</formula>
    </cfRule>
    <cfRule type="expression" dxfId="5" priority="3">
      <formula>I482="Отправлено"</formula>
    </cfRule>
  </conditionalFormatting>
  <conditionalFormatting sqref="H483">
    <cfRule type="expression" dxfId="2" priority="1">
      <formula>H483="Оплачено"</formula>
    </cfRule>
    <cfRule type="expression" dxfId="3" priority="2">
      <formula>H483="Не оплачено"</formula>
    </cfRule>
  </conditionalFormatting>
  <conditionalFormatting sqref="I483">
    <cfRule type="expression" dxfId="4" priority="1">
      <formula>I483="Принято"</formula>
    </cfRule>
    <cfRule type="expression" dxfId="3" priority="2">
      <formula>I483="Отклонено"</formula>
    </cfRule>
    <cfRule type="expression" dxfId="5" priority="3">
      <formula>I483="Отправлено"</formula>
    </cfRule>
  </conditionalFormatting>
  <conditionalFormatting sqref="H484">
    <cfRule type="expression" dxfId="2" priority="1">
      <formula>H484="Оплачено"</formula>
    </cfRule>
    <cfRule type="expression" dxfId="3" priority="2">
      <formula>H484="Не оплачено"</formula>
    </cfRule>
  </conditionalFormatting>
  <conditionalFormatting sqref="I484">
    <cfRule type="expression" dxfId="4" priority="1">
      <formula>I484="Принято"</formula>
    </cfRule>
    <cfRule type="expression" dxfId="3" priority="2">
      <formula>I484="Отклонено"</formula>
    </cfRule>
    <cfRule type="expression" dxfId="5" priority="3">
      <formula>I484="Отправлено"</formula>
    </cfRule>
  </conditionalFormatting>
  <conditionalFormatting sqref="H485">
    <cfRule type="expression" dxfId="2" priority="1">
      <formula>H485="Оплачено"</formula>
    </cfRule>
    <cfRule type="expression" dxfId="3" priority="2">
      <formula>H485="Не оплачено"</formula>
    </cfRule>
  </conditionalFormatting>
  <conditionalFormatting sqref="I485">
    <cfRule type="expression" dxfId="4" priority="1">
      <formula>I485="Принято"</formula>
    </cfRule>
    <cfRule type="expression" dxfId="3" priority="2">
      <formula>I485="Отклонено"</formula>
    </cfRule>
    <cfRule type="expression" dxfId="5" priority="3">
      <formula>I485="Отправлено"</formula>
    </cfRule>
  </conditionalFormatting>
  <conditionalFormatting sqref="H486">
    <cfRule type="expression" dxfId="2" priority="1">
      <formula>H486="Оплачено"</formula>
    </cfRule>
    <cfRule type="expression" dxfId="3" priority="2">
      <formula>H486="Не оплачено"</formula>
    </cfRule>
  </conditionalFormatting>
  <conditionalFormatting sqref="I486">
    <cfRule type="expression" dxfId="4" priority="1">
      <formula>I486="Принято"</formula>
    </cfRule>
    <cfRule type="expression" dxfId="3" priority="2">
      <formula>I486="Отклонено"</formula>
    </cfRule>
    <cfRule type="expression" dxfId="5" priority="3">
      <formula>I486="Отправлено"</formula>
    </cfRule>
  </conditionalFormatting>
  <conditionalFormatting sqref="H487">
    <cfRule type="expression" dxfId="2" priority="1">
      <formula>H487="Оплачено"</formula>
    </cfRule>
    <cfRule type="expression" dxfId="3" priority="2">
      <formula>H487="Не оплачено"</formula>
    </cfRule>
  </conditionalFormatting>
  <conditionalFormatting sqref="I487">
    <cfRule type="expression" dxfId="4" priority="1">
      <formula>I487="Принято"</formula>
    </cfRule>
    <cfRule type="expression" dxfId="3" priority="2">
      <formula>I487="Отклонено"</formula>
    </cfRule>
    <cfRule type="expression" dxfId="5" priority="3">
      <formula>I487="Отправлено"</formula>
    </cfRule>
  </conditionalFormatting>
  <conditionalFormatting sqref="H488">
    <cfRule type="expression" dxfId="2" priority="1">
      <formula>H488="Оплачено"</formula>
    </cfRule>
    <cfRule type="expression" dxfId="3" priority="2">
      <formula>H488="Не оплачено"</formula>
    </cfRule>
  </conditionalFormatting>
  <conditionalFormatting sqref="I488">
    <cfRule type="expression" dxfId="4" priority="1">
      <formula>I488="Принято"</formula>
    </cfRule>
    <cfRule type="expression" dxfId="3" priority="2">
      <formula>I488="Отклонено"</formula>
    </cfRule>
    <cfRule type="expression" dxfId="5" priority="3">
      <formula>I488="Отправлено"</formula>
    </cfRule>
  </conditionalFormatting>
  <conditionalFormatting sqref="H489">
    <cfRule type="expression" dxfId="2" priority="1">
      <formula>H489="Оплачено"</formula>
    </cfRule>
    <cfRule type="expression" dxfId="3" priority="2">
      <formula>H489="Не оплачено"</formula>
    </cfRule>
  </conditionalFormatting>
  <conditionalFormatting sqref="I489">
    <cfRule type="expression" dxfId="4" priority="1">
      <formula>I489="Принято"</formula>
    </cfRule>
    <cfRule type="expression" dxfId="3" priority="2">
      <formula>I489="Отклонено"</formula>
    </cfRule>
    <cfRule type="expression" dxfId="5" priority="3">
      <formula>I489="Отправлено"</formula>
    </cfRule>
  </conditionalFormatting>
  <conditionalFormatting sqref="H490">
    <cfRule type="expression" dxfId="2" priority="1">
      <formula>H490="Оплачено"</formula>
    </cfRule>
    <cfRule type="expression" dxfId="3" priority="2">
      <formula>H490="Не оплачено"</formula>
    </cfRule>
  </conditionalFormatting>
  <conditionalFormatting sqref="I490">
    <cfRule type="expression" dxfId="4" priority="1">
      <formula>I490="Принято"</formula>
    </cfRule>
    <cfRule type="expression" dxfId="3" priority="2">
      <formula>I490="Отклонено"</formula>
    </cfRule>
    <cfRule type="expression" dxfId="5" priority="3">
      <formula>I490="Отправлено"</formula>
    </cfRule>
  </conditionalFormatting>
  <conditionalFormatting sqref="H491">
    <cfRule type="expression" dxfId="2" priority="1">
      <formula>H491="Оплачено"</formula>
    </cfRule>
    <cfRule type="expression" dxfId="3" priority="2">
      <formula>H491="Не оплачено"</formula>
    </cfRule>
  </conditionalFormatting>
  <conditionalFormatting sqref="I491">
    <cfRule type="expression" dxfId="4" priority="1">
      <formula>I491="Принято"</formula>
    </cfRule>
    <cfRule type="expression" dxfId="3" priority="2">
      <formula>I491="Отклонено"</formula>
    </cfRule>
    <cfRule type="expression" dxfId="5" priority="3">
      <formula>I491="Отправлено"</formula>
    </cfRule>
  </conditionalFormatting>
  <conditionalFormatting sqref="H492">
    <cfRule type="expression" dxfId="2" priority="1">
      <formula>H492="Оплачено"</formula>
    </cfRule>
    <cfRule type="expression" dxfId="3" priority="2">
      <formula>H492="Не оплачено"</formula>
    </cfRule>
  </conditionalFormatting>
  <conditionalFormatting sqref="I492">
    <cfRule type="expression" dxfId="4" priority="1">
      <formula>I492="Принято"</formula>
    </cfRule>
    <cfRule type="expression" dxfId="3" priority="2">
      <formula>I492="Отклонено"</formula>
    </cfRule>
    <cfRule type="expression" dxfId="5" priority="3">
      <formula>I492="Отправлено"</formula>
    </cfRule>
  </conditionalFormatting>
  <conditionalFormatting sqref="H493">
    <cfRule type="expression" dxfId="2" priority="1">
      <formula>H493="Оплачено"</formula>
    </cfRule>
    <cfRule type="expression" dxfId="3" priority="2">
      <formula>H493="Не оплачено"</formula>
    </cfRule>
  </conditionalFormatting>
  <conditionalFormatting sqref="I493">
    <cfRule type="expression" dxfId="4" priority="1">
      <formula>I493="Принято"</formula>
    </cfRule>
    <cfRule type="expression" dxfId="3" priority="2">
      <formula>I493="Отклонено"</formula>
    </cfRule>
    <cfRule type="expression" dxfId="5" priority="3">
      <formula>I493="Отправлено"</formula>
    </cfRule>
  </conditionalFormatting>
  <conditionalFormatting sqref="H494">
    <cfRule type="expression" dxfId="2" priority="1">
      <formula>H494="Оплачено"</formula>
    </cfRule>
    <cfRule type="expression" dxfId="3" priority="2">
      <formula>H494="Не оплачено"</formula>
    </cfRule>
  </conditionalFormatting>
  <conditionalFormatting sqref="I494">
    <cfRule type="expression" dxfId="4" priority="1">
      <formula>I494="Принято"</formula>
    </cfRule>
    <cfRule type="expression" dxfId="3" priority="2">
      <formula>I494="Отклонено"</formula>
    </cfRule>
    <cfRule type="expression" dxfId="5" priority="3">
      <formula>I494="Отправлено"</formula>
    </cfRule>
  </conditionalFormatting>
  <conditionalFormatting sqref="H495">
    <cfRule type="expression" dxfId="2" priority="1">
      <formula>H495="Оплачено"</formula>
    </cfRule>
    <cfRule type="expression" dxfId="3" priority="2">
      <formula>H495="Не оплачено"</formula>
    </cfRule>
  </conditionalFormatting>
  <conditionalFormatting sqref="I495">
    <cfRule type="expression" dxfId="4" priority="1">
      <formula>I495="Принято"</formula>
    </cfRule>
    <cfRule type="expression" dxfId="3" priority="2">
      <formula>I495="Отклонено"</formula>
    </cfRule>
    <cfRule type="expression" dxfId="5" priority="3">
      <formula>I495="Отправлено"</formula>
    </cfRule>
  </conditionalFormatting>
  <conditionalFormatting sqref="H496">
    <cfRule type="expression" dxfId="2" priority="1">
      <formula>H496="Оплачено"</formula>
    </cfRule>
    <cfRule type="expression" dxfId="3" priority="2">
      <formula>H496="Не оплачено"</formula>
    </cfRule>
  </conditionalFormatting>
  <conditionalFormatting sqref="I496">
    <cfRule type="expression" dxfId="4" priority="1">
      <formula>I496="Принято"</formula>
    </cfRule>
    <cfRule type="expression" dxfId="3" priority="2">
      <formula>I496="Отклонено"</formula>
    </cfRule>
    <cfRule type="expression" dxfId="5" priority="3">
      <formula>I496="Отправлено"</formula>
    </cfRule>
  </conditionalFormatting>
  <conditionalFormatting sqref="H497">
    <cfRule type="expression" dxfId="2" priority="1">
      <formula>H497="Оплачено"</formula>
    </cfRule>
    <cfRule type="expression" dxfId="3" priority="2">
      <formula>H497="Не оплачено"</formula>
    </cfRule>
  </conditionalFormatting>
  <conditionalFormatting sqref="I497">
    <cfRule type="expression" dxfId="4" priority="1">
      <formula>I497="Принято"</formula>
    </cfRule>
    <cfRule type="expression" dxfId="3" priority="2">
      <formula>I497="Отклонено"</formula>
    </cfRule>
    <cfRule type="expression" dxfId="5" priority="3">
      <formula>I497="Отправлено"</formula>
    </cfRule>
  </conditionalFormatting>
  <conditionalFormatting sqref="H498">
    <cfRule type="expression" dxfId="2" priority="1">
      <formula>H498="Оплачено"</formula>
    </cfRule>
    <cfRule type="expression" dxfId="3" priority="2">
      <formula>H498="Не оплачено"</formula>
    </cfRule>
  </conditionalFormatting>
  <conditionalFormatting sqref="I498">
    <cfRule type="expression" dxfId="4" priority="1">
      <formula>I498="Принято"</formula>
    </cfRule>
    <cfRule type="expression" dxfId="3" priority="2">
      <formula>I498="Отклонено"</formula>
    </cfRule>
    <cfRule type="expression" dxfId="5" priority="3">
      <formula>I498="Отправлено"</formula>
    </cfRule>
  </conditionalFormatting>
  <conditionalFormatting sqref="H499">
    <cfRule type="expression" dxfId="2" priority="1">
      <formula>H499="Оплачено"</formula>
    </cfRule>
    <cfRule type="expression" dxfId="3" priority="2">
      <formula>H499="Не оплачено"</formula>
    </cfRule>
  </conditionalFormatting>
  <conditionalFormatting sqref="I499">
    <cfRule type="expression" dxfId="4" priority="1">
      <formula>I499="Принято"</formula>
    </cfRule>
    <cfRule type="expression" dxfId="3" priority="2">
      <formula>I499="Отклонено"</formula>
    </cfRule>
    <cfRule type="expression" dxfId="5" priority="3">
      <formula>I499="Отправлено"</formula>
    </cfRule>
  </conditionalFormatting>
  <conditionalFormatting sqref="H500">
    <cfRule type="expression" dxfId="2" priority="1">
      <formula>H500="Оплачено"</formula>
    </cfRule>
    <cfRule type="expression" dxfId="3" priority="2">
      <formula>H500="Не оплачено"</formula>
    </cfRule>
  </conditionalFormatting>
  <conditionalFormatting sqref="I500">
    <cfRule type="expression" dxfId="4" priority="1">
      <formula>I500="Принято"</formula>
    </cfRule>
    <cfRule type="expression" dxfId="3" priority="2">
      <formula>I500="Отклонено"</formula>
    </cfRule>
    <cfRule type="expression" dxfId="5" priority="3">
      <formula>I500="Отправлено"</formula>
    </cfRule>
  </conditionalFormatting>
  <conditionalFormatting sqref="H501">
    <cfRule type="expression" dxfId="2" priority="1">
      <formula>H501="Оплачено"</formula>
    </cfRule>
    <cfRule type="expression" dxfId="3" priority="2">
      <formula>H501="Не оплачено"</formula>
    </cfRule>
  </conditionalFormatting>
  <conditionalFormatting sqref="I501">
    <cfRule type="expression" dxfId="4" priority="1">
      <formula>I501="Принято"</formula>
    </cfRule>
    <cfRule type="expression" dxfId="3" priority="2">
      <formula>I501="Отклонено"</formula>
    </cfRule>
    <cfRule type="expression" dxfId="5" priority="3">
      <formula>I501="Отправлено"</formula>
    </cfRule>
  </conditionalFormatting>
  <conditionalFormatting sqref="H502">
    <cfRule type="expression" dxfId="2" priority="1">
      <formula>H502="Оплачено"</formula>
    </cfRule>
    <cfRule type="expression" dxfId="3" priority="2">
      <formula>H502="Не оплачено"</formula>
    </cfRule>
  </conditionalFormatting>
  <conditionalFormatting sqref="I502">
    <cfRule type="expression" dxfId="4" priority="1">
      <formula>I502="Принято"</formula>
    </cfRule>
    <cfRule type="expression" dxfId="3" priority="2">
      <formula>I502="Отклонено"</formula>
    </cfRule>
    <cfRule type="expression" dxfId="5" priority="3">
      <formula>I502="Отправлено"</formula>
    </cfRule>
  </conditionalFormatting>
  <conditionalFormatting sqref="H503">
    <cfRule type="expression" dxfId="2" priority="1">
      <formula>H503="Оплачено"</formula>
    </cfRule>
    <cfRule type="expression" dxfId="3" priority="2">
      <formula>H503="Не оплачено"</formula>
    </cfRule>
  </conditionalFormatting>
  <conditionalFormatting sqref="I503">
    <cfRule type="expression" dxfId="4" priority="1">
      <formula>I503="Принято"</formula>
    </cfRule>
    <cfRule type="expression" dxfId="3" priority="2">
      <formula>I503="Отклонено"</formula>
    </cfRule>
    <cfRule type="expression" dxfId="5" priority="3">
      <formula>I503="Отправлено"</formula>
    </cfRule>
  </conditionalFormatting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95959"/>
  </sheetPr>
  <sheetViews>
    <sheetView showGridLines="0" workbookViewId="0">
</sheetView>
  </sheetViews>
  <cols>
    <col min="1" max="1" width="20" customWidth="1"/>
    <col min="2" max="2" width="20" customWidth="1"/>
    <col min="3" max="3" width="25" customWidth="1"/>
    <col min="4" max="4" width="25" customWidth="1"/>
    <col min="5" max="5" width="25" customWidth="1"/>
  </cols>
  <sheetData>
    <row r="1" ht="40" customHeight="1">
      <c r="A1" s="1" t="s">
        <v>99</v>
      </c>
    </row>
    <row r="2">
      <c r="A2" s="3" t="s">
        <v>83</v>
      </c>
      <c r="B2" s="3" t="s">
        <v>84</v>
      </c>
      <c r="C2" s="3" t="s">
        <v>88</v>
      </c>
      <c r="D2" s="3" t="s">
        <v>86</v>
      </c>
      <c r="E2" s="3" t="s">
        <v>85</v>
      </c>
    </row>
    <row r="3">
      <c r="A3" s="7" t="s">
        <v>32</v>
      </c>
      <c r="B3" s="7" t="s">
        <v>30</v>
      </c>
      <c r="C3" s="7" t="s">
        <v>43</v>
      </c>
      <c r="D3" s="7" t="s">
        <v>55</v>
      </c>
      <c r="E3" s="7" t="s">
        <v>36</v>
      </c>
    </row>
    <row r="4">
      <c r="A4" s="7" t="s">
        <v>33</v>
      </c>
      <c r="B4" s="7" t="s">
        <v>31</v>
      </c>
      <c r="C4" s="7" t="s">
        <v>44</v>
      </c>
      <c r="D4" s="7" t="s">
        <v>56</v>
      </c>
      <c r="E4" s="7" t="s">
        <v>37</v>
      </c>
    </row>
    <row r="5">
      <c r="A5" s="7" t="s">
        <v>34</v>
      </c>
      <c r="C5" s="7" t="s">
        <v>45</v>
      </c>
      <c r="D5" s="7" t="s">
        <v>57</v>
      </c>
      <c r="E5" s="7" t="s">
        <v>38</v>
      </c>
    </row>
    <row r="6">
      <c r="A6" s="7" t="s">
        <v>35</v>
      </c>
      <c r="C6" s="7" t="s">
        <v>46</v>
      </c>
      <c r="D6" s="7" t="s">
        <v>58</v>
      </c>
      <c r="E6" s="7" t="s">
        <v>39</v>
      </c>
    </row>
    <row r="7">
      <c r="C7" s="7" t="s">
        <v>47</v>
      </c>
      <c r="D7" s="7" t="s">
        <v>59</v>
      </c>
    </row>
    <row r="8">
      <c r="C8" s="7" t="s">
        <v>48</v>
      </c>
      <c r="D8" s="7" t="s">
        <v>60</v>
      </c>
    </row>
    <row r="9">
      <c r="C9" s="7" t="s">
        <v>49</v>
      </c>
      <c r="D9" s="7" t="s">
        <v>61</v>
      </c>
    </row>
    <row r="10">
      <c r="C10" s="7" t="s">
        <v>50</v>
      </c>
      <c r="D10" s="7" t="s">
        <v>62</v>
      </c>
    </row>
    <row r="11">
      <c r="C11" s="7" t="s">
        <v>51</v>
      </c>
      <c r="D11" s="7" t="s">
        <v>63</v>
      </c>
    </row>
    <row r="12">
      <c r="C12" s="7" t="s">
        <v>52</v>
      </c>
    </row>
    <row r="13">
      <c r="C13" s="7" t="s">
        <v>53</v>
      </c>
    </row>
    <row r="14">
      <c r="C14" s="7" t="s">
        <v>54</v>
      </c>
    </row>
  </sheetData>
  <mergeCells count="1">
    <mergeCell ref="A1:E1"/>
  </mergeCells>
</worksheet>
</file>